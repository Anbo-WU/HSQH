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5100" windowHeight="12320" tabRatio="183"/>
  </bookViews>
  <sheets>
    <sheet name="填写页" sheetId="1" r:id="rId1"/>
    <sheet name="标签"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<sst xmlns="http://schemas.openxmlformats.org/spreadsheetml/2006/main" count="113" uniqueCount="104">
  <si>
    <t>2026年...公司“保险+期货”项目立项申请表</t>
  </si>
  <si>
    <t>申请日期：</t>
  </si>
  <si>
    <r>
      <rPr>
        <b/>
        <sz val="11"/>
        <rFont val="宋体"/>
        <charset val="134"/>
      </rPr>
      <t>填写要求：（日期：</t>
    </r>
    <r>
      <rPr>
        <b/>
        <sz val="11"/>
        <color indexed="40"/>
        <rFont val="宋体"/>
        <charset val="134"/>
      </rPr>
      <t>XXXX年XX月XX日</t>
    </r>
    <r>
      <rPr>
        <b/>
        <sz val="11"/>
        <rFont val="宋体"/>
        <charset val="134"/>
      </rPr>
      <t>）</t>
    </r>
  </si>
  <si>
    <t>填写规范：</t>
  </si>
  <si>
    <t>项目名称</t>
  </si>
  <si>
    <r>
      <t>陕西省宝鸡市...</t>
    </r>
    <r>
      <rPr>
        <sz val="12"/>
        <rFont val="仿宋_GB2312"/>
        <charset val="134"/>
      </rPr>
      <t>苹果收入险</t>
    </r>
    <r>
      <rPr>
        <sz val="12"/>
        <color rgb="FF000000"/>
        <rFont val="仿宋_GB2312"/>
        <charset val="134"/>
      </rPr>
      <t>项目</t>
    </r>
  </si>
  <si>
    <r>
      <rPr>
        <b/>
        <sz val="9"/>
        <color theme="5" tint="-0.249977111117893"/>
        <rFont val="宋体"/>
        <charset val="134"/>
      </rPr>
      <t>xx省+xx市/州+xx县/区+保险公司简称+xx品种项目+（序号）</t>
    </r>
    <r>
      <rPr>
        <sz val="9"/>
        <color theme="5" tint="-0.249977111117893"/>
        <rFont val="宋体"/>
        <charset val="134"/>
      </rPr>
      <t>,分期在项目后加（序号）</t>
    </r>
  </si>
  <si>
    <t>1.填写C-D-E列，其中黄色框填写文本，绿色框填写数字，数字单位自带，其他单元格值自动生成。</t>
  </si>
  <si>
    <t>填写文本</t>
  </si>
  <si>
    <t>业务部门</t>
  </si>
  <si>
    <t>申请业务部门</t>
  </si>
  <si>
    <t>..营业部</t>
  </si>
  <si>
    <t>填写完整，xx分公司xx部门</t>
  </si>
  <si>
    <t>填写数字</t>
  </si>
  <si>
    <t>项目基本情况</t>
  </si>
  <si>
    <t>项目品种</t>
  </si>
  <si>
    <t>苹果</t>
  </si>
  <si>
    <t>xx品种</t>
  </si>
  <si>
    <r>
      <rPr>
        <sz val="10"/>
        <rFont val="仿宋"/>
        <charset val="134"/>
      </rPr>
      <t>2.</t>
    </r>
    <r>
      <rPr>
        <b/>
        <sz val="10"/>
        <rFont val="仿宋"/>
        <charset val="134"/>
      </rPr>
      <t>增强亚式看跌</t>
    </r>
    <r>
      <rPr>
        <sz val="10"/>
        <rFont val="仿宋"/>
        <charset val="134"/>
      </rPr>
      <t xml:space="preserve">结算价=采价期间各交易日Min(标的合约收盘价,执行价格/增强价) 的算术平均价；
</t>
    </r>
    <r>
      <rPr>
        <b/>
        <sz val="10"/>
        <rFont val="仿宋"/>
        <charset val="134"/>
      </rPr>
      <t>增强亚式看涨</t>
    </r>
    <r>
      <rPr>
        <sz val="10"/>
        <rFont val="仿宋"/>
        <charset val="134"/>
      </rPr>
      <t xml:space="preserve">结算价=采价期间各交易日Max(标的合约收盘价,执行价格/增强价) 的算术平均价；
</t>
    </r>
    <r>
      <rPr>
        <b/>
        <sz val="10"/>
        <rFont val="仿宋"/>
        <charset val="134"/>
      </rPr>
      <t>标准亚式</t>
    </r>
    <r>
      <rPr>
        <sz val="10"/>
        <rFont val="仿宋"/>
        <charset val="134"/>
      </rPr>
      <t xml:space="preserve">结算价=采价期间各交易日标的合约收盘价的算术平均价；
</t>
    </r>
    <r>
      <rPr>
        <b/>
        <sz val="10"/>
        <rFont val="仿宋"/>
        <charset val="134"/>
      </rPr>
      <t>美式</t>
    </r>
    <r>
      <rPr>
        <sz val="10"/>
        <rFont val="仿宋"/>
        <charset val="134"/>
      </rPr>
      <t xml:space="preserve">结算价=保险期间某一交易日标的合约的盘中价或收盘价；
</t>
    </r>
    <r>
      <rPr>
        <b/>
        <sz val="10"/>
        <rFont val="仿宋"/>
        <charset val="134"/>
      </rPr>
      <t>欧式</t>
    </r>
    <r>
      <rPr>
        <sz val="10"/>
        <rFont val="仿宋"/>
        <charset val="134"/>
      </rPr>
      <t>结算价=保险到期日标的合约收盘价</t>
    </r>
  </si>
  <si>
    <t>保费补贴协议签约方</t>
  </si>
  <si>
    <t>...有限公司宝鸡中心支公司</t>
  </si>
  <si>
    <t>保险公司全称，填写保费补贴协议签约机构全称。</t>
  </si>
  <si>
    <t>场外期权交易对手方</t>
  </si>
  <si>
    <t>...有限公司陕西省分公司</t>
  </si>
  <si>
    <t>保险公司全称，填写SAC协议签约保险机构全称。</t>
  </si>
  <si>
    <r>
      <rPr>
        <sz val="12"/>
        <color rgb="FF000000"/>
        <rFont val="仿宋_GB2312"/>
        <charset val="134"/>
      </rPr>
      <t>项目区域（省</t>
    </r>
    <r>
      <rPr>
        <sz val="12"/>
        <color indexed="8"/>
        <rFont val="Times New Roman"/>
        <charset val="134"/>
      </rPr>
      <t>+</t>
    </r>
    <r>
      <rPr>
        <sz val="12"/>
        <color indexed="8"/>
        <rFont val="仿宋_GB2312"/>
        <charset val="134"/>
      </rPr>
      <t>市</t>
    </r>
    <r>
      <rPr>
        <sz val="12"/>
        <color indexed="8"/>
        <rFont val="Times New Roman"/>
        <charset val="134"/>
      </rPr>
      <t>+</t>
    </r>
    <r>
      <rPr>
        <sz val="12"/>
        <color indexed="8"/>
        <rFont val="仿宋_GB2312"/>
        <charset val="134"/>
      </rPr>
      <t>县</t>
    </r>
    <r>
      <rPr>
        <sz val="12"/>
        <color indexed="8"/>
        <rFont val="Times New Roman"/>
        <charset val="134"/>
      </rPr>
      <t>/</t>
    </r>
    <r>
      <rPr>
        <sz val="12"/>
        <color indexed="8"/>
        <rFont val="仿宋_GB2312"/>
        <charset val="134"/>
      </rPr>
      <t>区）</t>
    </r>
  </si>
  <si>
    <t>陕西省宝鸡市扶风县</t>
  </si>
  <si>
    <t>xx省+xx市/州+xx县/区</t>
  </si>
  <si>
    <t>合作方是否有项目经验</t>
  </si>
  <si>
    <t xml:space="preserve">☑是   </t>
  </si>
  <si>
    <t>□否</t>
  </si>
  <si>
    <r>
      <rPr>
        <sz val="9"/>
        <color indexed="53"/>
        <rFont val="Segoe UI Symbol"/>
        <charset val="134"/>
      </rPr>
      <t>☑</t>
    </r>
    <r>
      <rPr>
        <sz val="9"/>
        <color indexed="53"/>
        <rFont val="宋体"/>
        <charset val="134"/>
      </rPr>
      <t>选是否</t>
    </r>
    <r>
      <rPr>
        <sz val="9"/>
        <color indexed="53"/>
        <rFont val="宋体"/>
        <charset val="134"/>
      </rPr>
      <t>，提供下拉选项</t>
    </r>
  </si>
  <si>
    <t>是否单独承做</t>
  </si>
  <si>
    <t>服务主体名称</t>
  </si>
  <si>
    <t>陕西省宝鸡市扶风县苹果种植户</t>
  </si>
  <si>
    <t>xx省+/xx市+xx县xx品种养殖户/种植户</t>
  </si>
  <si>
    <t>场外期权产品要素</t>
  </si>
  <si>
    <t>标的合约</t>
  </si>
  <si>
    <t>AP.../苹果期货活跃合约</t>
  </si>
  <si>
    <t>例如：C2405，与项目品种一致</t>
  </si>
  <si>
    <t>波动率</t>
  </si>
  <si>
    <t>填写数字，保留2位小数，例如：填写20，显示20.00%,</t>
  </si>
  <si>
    <t>期权方向</t>
  </si>
  <si>
    <t>□看涨</t>
  </si>
  <si>
    <t>☑看跌</t>
  </si>
  <si>
    <r>
      <rPr>
        <sz val="9"/>
        <color indexed="53"/>
        <rFont val="Segoe UI Symbol"/>
        <charset val="134"/>
      </rPr>
      <t>☑</t>
    </r>
    <r>
      <rPr>
        <sz val="9"/>
        <color indexed="53"/>
        <rFont val="宋体"/>
        <charset val="134"/>
      </rPr>
      <t>选方向</t>
    </r>
    <r>
      <rPr>
        <sz val="9"/>
        <color indexed="53"/>
        <rFont val="宋体"/>
        <charset val="134"/>
      </rPr>
      <t>，提供下拉选项</t>
    </r>
  </si>
  <si>
    <r>
      <rPr>
        <sz val="10"/>
        <rFont val="仿宋"/>
        <charset val="134"/>
      </rPr>
      <t xml:space="preserve">3.以玉米、大豆、豆粕、白糖、饲料为保险标的的项目，项目实际虚值程度不得超过 </t>
    </r>
    <r>
      <rPr>
        <b/>
        <sz val="10"/>
        <rFont val="仿宋"/>
        <charset val="134"/>
      </rPr>
      <t>3%</t>
    </r>
    <r>
      <rPr>
        <sz val="10"/>
        <rFont val="仿宋"/>
        <charset val="134"/>
      </rPr>
      <t xml:space="preserve">; 以其他涉农产品为保险标的的项目，项目实际虚值程度不得超过 </t>
    </r>
    <r>
      <rPr>
        <b/>
        <sz val="10"/>
        <rFont val="仿宋"/>
        <charset val="134"/>
      </rPr>
      <t>5%</t>
    </r>
    <r>
      <rPr>
        <sz val="10"/>
        <rFont val="仿宋"/>
        <charset val="134"/>
      </rPr>
      <t>。</t>
    </r>
  </si>
  <si>
    <t>期权结构</t>
  </si>
  <si>
    <t>□标准亚式</t>
  </si>
  <si>
    <t>☑增强亚式</t>
  </si>
  <si>
    <r>
      <rPr>
        <sz val="12"/>
        <color rgb="FF000000"/>
        <rFont val="仿宋_GB2312"/>
        <charset val="134"/>
      </rPr>
      <t>□其他结构</t>
    </r>
    <r>
      <rPr>
        <u/>
        <sz val="12"/>
        <color indexed="8"/>
        <rFont val="仿宋_GB2312"/>
        <charset val="134"/>
      </rPr>
      <t xml:space="preserve">      </t>
    </r>
    <r>
      <rPr>
        <sz val="12"/>
        <color indexed="8"/>
        <rFont val="仿宋_GB2312"/>
        <charset val="134"/>
      </rPr>
      <t xml:space="preserve">    </t>
    </r>
  </si>
  <si>
    <r>
      <rPr>
        <sz val="9"/>
        <color indexed="53"/>
        <rFont val="Segoe UI Symbol"/>
        <charset val="134"/>
      </rPr>
      <t>☑</t>
    </r>
    <r>
      <rPr>
        <sz val="9"/>
        <color indexed="53"/>
        <rFont val="宋体"/>
        <charset val="134"/>
      </rPr>
      <t>选结构，其他结构（美式、欧式），提供下拉选项</t>
    </r>
  </si>
  <si>
    <t>入场价格（以实际入场为准）</t>
  </si>
  <si>
    <t>填写数字，整数</t>
  </si>
  <si>
    <t>执行价格（以实际价格为准）</t>
  </si>
  <si>
    <t>填写入场价格的百分比，自动生成执行价格，保留2位小数；如果是绝对值，请替换100%比例，直接写清楚，例如入场价+-100，手动修改执行价格。</t>
  </si>
  <si>
    <t>约定赔付金额/保费</t>
  </si>
  <si>
    <t>填写数字10，显示10%，保留2位小数</t>
  </si>
  <si>
    <t>采价周期</t>
  </si>
  <si>
    <t>填写数字或采价期范围，例如，填写1，显示1个月，或填写全程采价，最后XX天采价，按实际填写。</t>
  </si>
  <si>
    <t>结算价格</t>
  </si>
  <si>
    <r>
      <rPr>
        <sz val="9"/>
        <color theme="5" tint="-0.249977111117893"/>
        <rFont val="宋体"/>
        <charset val="134"/>
      </rPr>
      <t>见填写</t>
    </r>
    <r>
      <rPr>
        <b/>
        <sz val="9"/>
        <color theme="5" tint="-0.249977111117893"/>
        <rFont val="宋体"/>
        <charset val="134"/>
      </rPr>
      <t>规范2</t>
    </r>
    <r>
      <rPr>
        <sz val="9"/>
        <color theme="5" tint="-0.249977111117893"/>
        <rFont val="宋体"/>
        <charset val="134"/>
      </rPr>
      <t>；</t>
    </r>
  </si>
  <si>
    <t>结算（理赔）公式</t>
  </si>
  <si>
    <t>一般情况下，看跌：Max(执行价格-结算价格，0)*承保数量；看涨：Max(结算价格-执行价格，0)*承保数量</t>
  </si>
  <si>
    <t>预计期权费（率）</t>
  </si>
  <si>
    <r>
      <rPr>
        <b/>
        <sz val="9"/>
        <color rgb="FF00B050"/>
        <rFont val="宋体"/>
        <charset val="134"/>
      </rPr>
      <t>总期权费和费率自动生成</t>
    </r>
    <r>
      <rPr>
        <sz val="9"/>
        <color rgb="FF00B050"/>
        <rFont val="宋体"/>
        <charset val="134"/>
      </rPr>
      <t>，保留2位小数</t>
    </r>
  </si>
  <si>
    <t>预计对应承保数量</t>
  </si>
  <si>
    <t>自动生成，保留2位小数</t>
  </si>
  <si>
    <t>期权费使用率</t>
  </si>
  <si>
    <r>
      <rPr>
        <sz val="9"/>
        <color rgb="FF00B050"/>
        <rFont val="宋体"/>
        <charset val="134"/>
      </rPr>
      <t>自动生成，保留2位小数；</t>
    </r>
    <r>
      <rPr>
        <b/>
        <sz val="9"/>
        <color rgb="FF00B050"/>
        <rFont val="宋体"/>
        <charset val="134"/>
      </rPr>
      <t>不得低于20%</t>
    </r>
  </si>
  <si>
    <t>虚实值程度</t>
  </si>
  <si>
    <t>自动生成百分比，保留2位小数，若大于0为实值，小于0为虚值</t>
  </si>
  <si>
    <t>预期利润</t>
  </si>
  <si>
    <t>填写数字，保留2位小数，若填写1，显示1.00万元</t>
  </si>
  <si>
    <t>保险保单基本情况</t>
  </si>
  <si>
    <t>预计保险费（率）</t>
  </si>
  <si>
    <t>填写总保费数字，例如100，显示100万元；费率填写数字，保留2位小数</t>
  </si>
  <si>
    <t>预计保险金额（承保货值）</t>
  </si>
  <si>
    <r>
      <rPr>
        <b/>
        <sz val="9"/>
        <color rgb="FF00B050"/>
        <rFont val="宋体"/>
        <charset val="134"/>
      </rPr>
      <t>自动生成，</t>
    </r>
    <r>
      <rPr>
        <sz val="9"/>
        <color rgb="FF00B050"/>
        <rFont val="宋体"/>
        <charset val="134"/>
      </rPr>
      <t>保留2位小数</t>
    </r>
  </si>
  <si>
    <t>保费构成</t>
  </si>
  <si>
    <t>农户:政府:公司=40:30:30</t>
  </si>
  <si>
    <t>保费构成比例按实际情况填写</t>
  </si>
  <si>
    <t>期权费/保费（占保费比例）</t>
  </si>
  <si>
    <r>
      <rPr>
        <b/>
        <sz val="9"/>
        <color theme="5" tint="-0.249977111117893"/>
        <rFont val="宋体"/>
        <charset val="134"/>
      </rPr>
      <t>填写期权费/保费率</t>
    </r>
    <r>
      <rPr>
        <sz val="9"/>
        <color theme="5" tint="-0.249977111117893"/>
        <rFont val="宋体"/>
        <charset val="134"/>
      </rPr>
      <t>，如10，显示10%</t>
    </r>
  </si>
  <si>
    <t>保险期限（以实际入场为准）</t>
  </si>
  <si>
    <t>2026/6/23-2026/10/23(日期顺延）</t>
  </si>
  <si>
    <r>
      <rPr>
        <sz val="9"/>
        <color theme="5" tint="-0.249977111117893"/>
        <rFont val="宋体"/>
        <charset val="134"/>
      </rPr>
      <t>填写预计的保险期间，</t>
    </r>
    <r>
      <rPr>
        <b/>
        <sz val="9"/>
        <color theme="5" tint="-0.249977111117893"/>
        <rFont val="宋体"/>
        <charset val="134"/>
      </rPr>
      <t>&gt;=采价周期</t>
    </r>
    <r>
      <rPr>
        <sz val="9"/>
        <color theme="5" tint="-0.249977111117893"/>
        <rFont val="宋体"/>
        <charset val="134"/>
      </rPr>
      <t>，</t>
    </r>
    <r>
      <rPr>
        <b/>
        <sz val="9"/>
        <color theme="5" tint="-0.249977111117893"/>
        <rFont val="宋体"/>
        <charset val="134"/>
      </rPr>
      <t>&gt;=评审日+1（天）</t>
    </r>
    <r>
      <rPr>
        <sz val="9"/>
        <color theme="5" tint="-0.249977111117893"/>
        <rFont val="宋体"/>
        <charset val="134"/>
      </rPr>
      <t>，例如：2024/6/18-2024/7/17（日期顺延）</t>
    </r>
  </si>
  <si>
    <t>申请资金</t>
  </si>
  <si>
    <t>申请支持资金金额及占比</t>
  </si>
  <si>
    <r>
      <rPr>
        <b/>
        <sz val="9"/>
        <color rgb="FF00B050"/>
        <rFont val="宋体"/>
        <charset val="134"/>
      </rPr>
      <t>填写支持比例</t>
    </r>
    <r>
      <rPr>
        <sz val="9"/>
        <color rgb="FF00B050"/>
        <rFont val="宋体"/>
        <charset val="134"/>
      </rPr>
      <t>，</t>
    </r>
    <r>
      <rPr>
        <b/>
        <sz val="9"/>
        <color rgb="FF00B050"/>
        <rFont val="宋体"/>
        <charset val="134"/>
      </rPr>
      <t>自动生成支出金额</t>
    </r>
    <r>
      <rPr>
        <sz val="9"/>
        <color rgb="FF00B050"/>
        <rFont val="宋体"/>
        <charset val="134"/>
      </rPr>
      <t>，例如：填写20%，支持金额20万元</t>
    </r>
  </si>
  <si>
    <t>推荐理由</t>
  </si>
  <si>
    <t xml:space="preserve">该项目符合《关于申请公司2026年“保险+期货”商业类项目专项资金额度的请示》要求，同时该项目具有一定的预期利润。  该项目为苹果收入保险期货项目，期权结构为增强亚式 采价期：2026年9月11日—2026年10月11日，共31天，全程采价。                                                  </t>
  </si>
  <si>
    <t>按具体项目情况填写</t>
  </si>
  <si>
    <t>不要动！！</t>
  </si>
  <si>
    <t xml:space="preserve">□是    </t>
  </si>
  <si>
    <t>☑否</t>
  </si>
  <si>
    <t>☑看涨</t>
  </si>
  <si>
    <t>□看跌</t>
  </si>
  <si>
    <r>
      <rPr>
        <sz val="11"/>
        <color theme="1"/>
        <rFont val="Segoe UI Symbol"/>
        <charset val="134"/>
      </rPr>
      <t>☑</t>
    </r>
    <r>
      <rPr>
        <sz val="11"/>
        <color theme="1"/>
        <rFont val="Calibri"/>
        <charset val="134"/>
        <scheme val="minor"/>
      </rPr>
      <t>标准亚式</t>
    </r>
  </si>
  <si>
    <t>□增强亚式</t>
  </si>
  <si>
    <t>□其他结构</t>
  </si>
  <si>
    <r>
      <rPr>
        <sz val="11"/>
        <color theme="1"/>
        <rFont val="Segoe UI Symbol"/>
        <charset val="134"/>
      </rPr>
      <t>☑</t>
    </r>
    <r>
      <rPr>
        <sz val="11"/>
        <color theme="1"/>
        <rFont val="Calibri"/>
        <charset val="134"/>
        <scheme val="minor"/>
      </rPr>
      <t>其他结构：</t>
    </r>
    <r>
      <rPr>
        <u/>
        <sz val="11"/>
        <color theme="1"/>
        <rFont val="Calibri"/>
        <charset val="134"/>
        <scheme val="minor"/>
      </rPr>
      <t>美式</t>
    </r>
  </si>
  <si>
    <r>
      <rPr>
        <sz val="11"/>
        <color theme="1"/>
        <rFont val="Segoe UI Symbol"/>
        <charset val="134"/>
      </rPr>
      <t>☑</t>
    </r>
    <r>
      <rPr>
        <sz val="11"/>
        <color theme="1"/>
        <rFont val="Calibri"/>
        <charset val="134"/>
        <scheme val="minor"/>
      </rPr>
      <t>其他结构：欧</t>
    </r>
    <r>
      <rPr>
        <u/>
        <sz val="11"/>
        <color theme="1"/>
        <rFont val="Calibri"/>
        <charset val="134"/>
        <scheme val="minor"/>
      </rPr>
      <t>式</t>
    </r>
  </si>
  <si>
    <r>
      <rPr>
        <sz val="11"/>
        <color theme="1"/>
        <rFont val="Segoe UI Symbol"/>
        <charset val="134"/>
      </rPr>
      <t>☑</t>
    </r>
    <r>
      <rPr>
        <sz val="11"/>
        <color theme="1"/>
        <rFont val="Calibri"/>
        <charset val="134"/>
        <scheme val="minor"/>
      </rPr>
      <t>其他结构：奇异期权</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</si>
</sst>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quot;元/吨&quot;;[Red]\-#.00&quot;元/吨&quot;\,##0&quot;元/吨&quot;"/>
    <numFmt numFmtId="179" formatCode="#,##0.00&quot;元/吨&quot;;\-#&quot;元/吨&quot;\,##0.00&quot;元/吨&quot;"/>
    <numFmt numFmtId="180" formatCode="##0&quot;个月&quot;;##0&quot;个月&quot;"/>
    <numFmt numFmtId="181" formatCode="##0.00&quot;万元&quot;;\-#.00&quot;万元&quot;\,##0&quot;万元&quot;"/>
    <numFmt numFmtId="182" formatCode="#,##0.00&quot;吨&quot;;\-#&quot;“&quot;&quot;吨&quot;&quot;”&quot;\,##0.00&quot;吨&quot;"/>
    <numFmt numFmtId="183" formatCode="##0.00&quot;万元&quot;;[Red]\-#&quot;万元&quot;\,##0.00&quot;万元&quot;"/>
  </numFmts>
  <fonts count="50">
    <font>
      <sz val="11"/>
      <color theme="1"/>
      <name val="Calibri"/>
      <charset val="134"/>
      <scheme val="minor"/>
    </font>
    <font>
      <sz val="20"/>
      <name val="方正小标宋简体"/>
      <charset val="134"/>
    </font>
    <font>
      <sz val="12"/>
      <name val="宋体"/>
      <charset val="134"/>
    </font>
    <font>
      <sz val="11"/>
      <color theme="1"/>
      <name val="宋体"/>
      <charset val="134"/>
    </font>
    <font>
      <b/>
      <sz val="11"/>
      <name val="宋体"/>
      <charset val="134"/>
    </font>
    <font>
      <b/>
      <sz val="12"/>
      <color rgb="FFFF0000"/>
      <name val="宋体"/>
      <charset val="134"/>
    </font>
    <font>
      <b/>
      <sz val="12"/>
      <color rgb="FF000000"/>
      <name val="仿宋_GB2312"/>
      <charset val="134"/>
    </font>
    <font>
      <sz val="12"/>
      <color rgb="FF000000"/>
      <name val="仿宋_GB2312"/>
      <charset val="134"/>
    </font>
    <font>
      <sz val="11"/>
      <color theme="5" tint="-0.249977111117893"/>
      <name val="Calibri"/>
      <charset val="134"/>
      <scheme val="minor"/>
    </font>
    <font>
      <sz val="9"/>
      <color theme="5" tint="-0.249977111117893"/>
      <name val="宋体"/>
      <charset val="134"/>
    </font>
    <font>
      <sz val="10"/>
      <name val="仿宋"/>
      <charset val="134"/>
    </font>
    <font>
      <sz val="10"/>
      <name val="宋体"/>
      <charset val="134"/>
    </font>
    <font>
      <b/>
      <sz val="9"/>
      <color theme="5" tint="-0.249977111117893"/>
      <name val="宋体"/>
      <charset val="134"/>
    </font>
    <font>
      <b/>
      <sz val="12"/>
      <color rgb="FFC00000"/>
      <name val="仿宋_GB2312"/>
      <charset val="134"/>
    </font>
    <font>
      <sz val="12"/>
      <color indexed="8"/>
      <name val="仿宋_GB2312"/>
      <charset val="134"/>
    </font>
    <font>
      <sz val="9"/>
      <color indexed="53"/>
      <name val="宋体"/>
      <charset val="134"/>
    </font>
    <font>
      <sz val="12"/>
      <name val="仿宋_GB2312"/>
      <charset val="134"/>
    </font>
    <font>
      <sz val="11"/>
      <color theme="5" tint="-0.249977111117893"/>
      <name val="Segoe UI Symbol"/>
      <charset val="134"/>
    </font>
    <font>
      <sz val="12"/>
      <color rgb="FF00B050"/>
      <name val="仿宋_GB2312"/>
      <charset val="134"/>
    </font>
    <font>
      <b/>
      <sz val="9"/>
      <color rgb="FF00B050"/>
      <name val="宋体"/>
      <charset val="134"/>
    </font>
    <font>
      <sz val="9"/>
      <color rgb="FF00B050"/>
      <name val="宋体"/>
      <charset val="134"/>
    </font>
    <font>
      <b/>
      <sz val="12"/>
      <color rgb="FF00B050"/>
      <name val="仿宋_GB2312"/>
      <charset val="134"/>
    </font>
    <font>
      <b/>
      <sz val="12"/>
      <name val="仿宋_GB2312"/>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Segoe UI Symbol"/>
      <charset val="134"/>
    </font>
    <font>
      <sz val="11"/>
      <color theme="1"/>
      <name val="Calibri"/>
      <charset val="134"/>
      <scheme val="minor"/>
    </font>
    <font>
      <u/>
      <sz val="11"/>
      <color theme="1"/>
      <name val="Calibri"/>
      <charset val="134"/>
      <scheme val="minor"/>
    </font>
    <font>
      <sz val="9"/>
      <color indexed="53"/>
      <name val="Segoe UI Symbol"/>
      <charset val="134"/>
    </font>
    <font>
      <b/>
      <sz val="11"/>
      <color indexed="40"/>
      <name val="宋体"/>
      <charset val="134"/>
    </font>
    <font>
      <sz val="12"/>
      <color indexed="8"/>
      <name val="Times New Roman"/>
      <charset val="134"/>
    </font>
    <font>
      <u/>
      <sz val="12"/>
      <color indexed="8"/>
      <name val="仿宋_GB2312"/>
      <charset val="134"/>
    </font>
    <font>
      <b/>
      <sz val="10"/>
      <name val="仿宋"/>
      <charset val="134"/>
    </font>
  </fonts>
  <fills count="36">
    <fill>
      <patternFill patternType="none"/>
    </fill>
    <fill>
      <patternFill patternType="gray125"/>
    </fill>
    <fill>
      <patternFill patternType="solid">
        <fgColor rgb="FFFF0000"/>
        <bgColor indexed="64"/>
      </patternFill>
    </fill>
    <fill>
      <patternFill patternType="solid">
        <fgColor theme="7" tint="0.599993896298105"/>
        <bgColor indexed="64"/>
      </patternFill>
    </fill>
    <fill>
      <patternFill patternType="solid">
        <fgColor theme="9" tint="0.3998535111545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0" fillId="5" borderId="16"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17" applyNumberFormat="0" applyFill="0" applyAlignment="0" applyProtection="0">
      <alignment vertical="center"/>
    </xf>
    <xf numFmtId="0" fontId="29" fillId="0" borderId="17" applyNumberFormat="0" applyFill="0" applyAlignment="0" applyProtection="0">
      <alignment vertical="center"/>
    </xf>
    <xf numFmtId="0" fontId="30" fillId="0" borderId="18" applyNumberFormat="0" applyFill="0" applyAlignment="0" applyProtection="0">
      <alignment vertical="center"/>
    </xf>
    <xf numFmtId="0" fontId="30" fillId="0" borderId="0" applyNumberFormat="0" applyFill="0" applyBorder="0" applyAlignment="0" applyProtection="0">
      <alignment vertical="center"/>
    </xf>
    <xf numFmtId="0" fontId="31" fillId="6" borderId="19" applyNumberFormat="0" applyAlignment="0" applyProtection="0">
      <alignment vertical="center"/>
    </xf>
    <xf numFmtId="0" fontId="32" fillId="7" borderId="20" applyNumberFormat="0" applyAlignment="0" applyProtection="0">
      <alignment vertical="center"/>
    </xf>
    <xf numFmtId="0" fontId="33" fillId="7" borderId="19" applyNumberFormat="0" applyAlignment="0" applyProtection="0">
      <alignment vertical="center"/>
    </xf>
    <xf numFmtId="0" fontId="34" fillId="8" borderId="21" applyNumberFormat="0" applyAlignment="0" applyProtection="0">
      <alignment vertical="center"/>
    </xf>
    <xf numFmtId="0" fontId="35" fillId="0" borderId="22" applyNumberFormat="0" applyFill="0" applyAlignment="0" applyProtection="0">
      <alignment vertical="center"/>
    </xf>
    <xf numFmtId="0" fontId="36" fillId="0" borderId="23" applyNumberFormat="0" applyFill="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0"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0" fillId="19" borderId="0" applyNumberFormat="0" applyBorder="0" applyAlignment="0" applyProtection="0">
      <alignment vertical="center"/>
    </xf>
    <xf numFmtId="0" fontId="40"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0" fillId="23" borderId="0" applyNumberFormat="0" applyBorder="0" applyAlignment="0" applyProtection="0">
      <alignment vertical="center"/>
    </xf>
    <xf numFmtId="0" fontId="40"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0"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0" fillId="31" borderId="0" applyNumberFormat="0" applyBorder="0" applyAlignment="0" applyProtection="0">
      <alignment vertical="center"/>
    </xf>
    <xf numFmtId="0" fontId="40"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0" fillId="35" borderId="0" applyNumberFormat="0" applyBorder="0" applyAlignment="0" applyProtection="0">
      <alignment vertical="center"/>
    </xf>
  </cellStyleXfs>
  <cellXfs count="85">
    <xf numFmtId="0" fontId="0" fillId="0" borderId="0" xfId="0"/>
    <xf numFmtId="0" fontId="0" fillId="2" borderId="0" xfId="0" applyFill="1" applyAlignment="1">
      <alignment vertical="center"/>
    </xf>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horizontal="right" vertical="center"/>
    </xf>
    <xf numFmtId="58" fontId="3"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8" fillId="0" borderId="0" xfId="0" applyFont="1" applyAlignment="1">
      <alignment horizontal="center" vertical="center" wrapText="1"/>
    </xf>
    <xf numFmtId="0" fontId="9" fillId="0" borderId="0" xfId="0" applyFont="1" applyAlignment="1">
      <alignment vertical="center"/>
    </xf>
    <xf numFmtId="0" fontId="10" fillId="0" borderId="0" xfId="0" applyFont="1" applyAlignment="1">
      <alignment horizontal="left" vertical="center" wrapText="1"/>
    </xf>
    <xf numFmtId="0" fontId="11" fillId="3" borderId="0" xfId="0" applyFont="1" applyFill="1" applyAlignment="1">
      <alignment vertical="center"/>
    </xf>
    <xf numFmtId="0" fontId="11" fillId="0" borderId="0" xfId="0" applyFont="1" applyAlignment="1">
      <alignment vertical="center"/>
    </xf>
    <xf numFmtId="0" fontId="6"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xf numFmtId="0" fontId="7" fillId="0" borderId="8" xfId="0" applyFont="1" applyBorder="1" applyAlignment="1">
      <alignment horizontal="center" vertical="center" wrapText="1"/>
    </xf>
    <xf numFmtId="0" fontId="7" fillId="0" borderId="2" xfId="0" applyFont="1" applyBorder="1" applyAlignment="1">
      <alignment horizontal="center" vertical="center" wrapText="1"/>
    </xf>
    <xf numFmtId="0" fontId="12" fillId="0" borderId="0" xfId="0" applyFont="1" applyAlignment="1">
      <alignment vertical="center"/>
    </xf>
    <xf numFmtId="0" fontId="11" fillId="4" borderId="0" xfId="0" applyFont="1" applyFill="1" applyAlignment="1">
      <alignment vertical="center"/>
    </xf>
    <xf numFmtId="0" fontId="6" fillId="0" borderId="9" xfId="0" applyFont="1" applyBorder="1" applyAlignment="1">
      <alignment horizontal="center" vertical="center" wrapText="1"/>
    </xf>
    <xf numFmtId="0" fontId="7" fillId="0" borderId="6" xfId="0" applyFont="1" applyBorder="1" applyAlignment="1">
      <alignment horizontal="center" vertical="center" wrapText="1"/>
    </xf>
    <xf numFmtId="0" fontId="6" fillId="0" borderId="10" xfId="0" applyFont="1" applyBorder="1" applyAlignment="1">
      <alignment horizontal="center" vertical="center" wrapText="1"/>
    </xf>
    <xf numFmtId="0" fontId="7" fillId="0" borderId="1" xfId="0" applyFont="1" applyBorder="1" applyAlignment="1">
      <alignment horizontal="right" vertical="center" wrapText="1"/>
    </xf>
    <xf numFmtId="0" fontId="7" fillId="0" borderId="11" xfId="0" applyFont="1" applyBorder="1" applyAlignment="1">
      <alignment horizontal="right"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10" fontId="13" fillId="0" borderId="14" xfId="0" applyNumberFormat="1" applyFont="1" applyBorder="1" applyAlignment="1">
      <alignment horizontal="center" vertical="center" wrapText="1"/>
    </xf>
    <xf numFmtId="10" fontId="13" fillId="0" borderId="0" xfId="0" applyNumberFormat="1" applyFont="1" applyAlignment="1">
      <alignment horizontal="center" vertical="center" wrapText="1"/>
    </xf>
    <xf numFmtId="10" fontId="13" fillId="0" borderId="15" xfId="0" applyNumberFormat="1" applyFont="1" applyBorder="1" applyAlignment="1">
      <alignment horizontal="center" vertical="center" wrapText="1"/>
    </xf>
    <xf numFmtId="0" fontId="14" fillId="0" borderId="1" xfId="0" applyFont="1" applyBorder="1" applyAlignment="1">
      <alignment horizontal="right" vertical="center" wrapText="1"/>
    </xf>
    <xf numFmtId="0" fontId="14" fillId="0" borderId="8" xfId="0" applyFont="1" applyBorder="1" applyAlignment="1">
      <alignment horizontal="center" vertical="center" wrapText="1"/>
    </xf>
    <xf numFmtId="0" fontId="15" fillId="0" borderId="0" xfId="0" applyFont="1" applyAlignment="1">
      <alignment vertical="center"/>
    </xf>
    <xf numFmtId="0" fontId="7"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7" fillId="0" borderId="13" xfId="0" applyFont="1" applyBorder="1" applyAlignment="1">
      <alignment horizontal="left" vertical="center" wrapText="1"/>
    </xf>
    <xf numFmtId="0" fontId="17" fillId="0" borderId="0" xfId="0" applyFont="1" applyAlignment="1">
      <alignment horizontal="center" vertical="center" wrapText="1"/>
    </xf>
    <xf numFmtId="178" fontId="7" fillId="0" borderId="1" xfId="0" applyNumberFormat="1" applyFont="1" applyBorder="1" applyAlignment="1">
      <alignment horizontal="center" vertical="center" wrapText="1"/>
    </xf>
    <xf numFmtId="178" fontId="7" fillId="0" borderId="8" xfId="0" applyNumberFormat="1" applyFont="1" applyBorder="1" applyAlignment="1">
      <alignment horizontal="center" vertical="center" wrapText="1"/>
    </xf>
    <xf numFmtId="178" fontId="7" fillId="0" borderId="2" xfId="0" applyNumberFormat="1" applyFont="1" applyBorder="1" applyAlignment="1">
      <alignment horizontal="center" vertical="center" wrapText="1"/>
    </xf>
    <xf numFmtId="179" fontId="18" fillId="0" borderId="1" xfId="0" applyNumberFormat="1" applyFont="1" applyBorder="1" applyAlignment="1">
      <alignment horizontal="center" vertical="center" wrapText="1"/>
    </xf>
    <xf numFmtId="179" fontId="18" fillId="0" borderId="8" xfId="0" applyNumberFormat="1" applyFont="1" applyBorder="1" applyAlignment="1">
      <alignment horizontal="center" vertical="center" wrapText="1"/>
    </xf>
    <xf numFmtId="10" fontId="6" fillId="0" borderId="2" xfId="0" applyNumberFormat="1" applyFont="1" applyBorder="1" applyAlignment="1">
      <alignment horizontal="center" vertical="center" wrapText="1"/>
    </xf>
    <xf numFmtId="0" fontId="19" fillId="0" borderId="0" xfId="0" applyFont="1" applyAlignment="1">
      <alignment vertical="center"/>
    </xf>
    <xf numFmtId="10" fontId="16" fillId="0" borderId="1" xfId="0" applyNumberFormat="1" applyFont="1" applyBorder="1" applyAlignment="1">
      <alignment horizontal="center" vertical="center"/>
    </xf>
    <xf numFmtId="10" fontId="16" fillId="0" borderId="8" xfId="0" applyNumberFormat="1" applyFont="1" applyBorder="1" applyAlignment="1">
      <alignment horizontal="center" vertical="center"/>
    </xf>
    <xf numFmtId="10" fontId="16" fillId="0" borderId="2" xfId="0" applyNumberFormat="1" applyFont="1" applyBorder="1" applyAlignment="1">
      <alignment horizontal="center" vertical="center"/>
    </xf>
    <xf numFmtId="0" fontId="20" fillId="0" borderId="0" xfId="0" applyFont="1" applyAlignment="1">
      <alignment vertical="center"/>
    </xf>
    <xf numFmtId="180" fontId="7" fillId="0" borderId="1" xfId="0" applyNumberFormat="1" applyFont="1" applyBorder="1" applyAlignment="1">
      <alignment horizontal="center" vertical="center" wrapText="1"/>
    </xf>
    <xf numFmtId="180" fontId="7" fillId="0" borderId="8" xfId="0" applyNumberFormat="1" applyFont="1" applyBorder="1" applyAlignment="1">
      <alignment horizontal="center" vertical="center" wrapText="1"/>
    </xf>
    <xf numFmtId="180" fontId="7" fillId="0" borderId="2" xfId="0" applyNumberFormat="1" applyFont="1" applyBorder="1" applyAlignment="1">
      <alignment horizontal="center" vertical="center" wrapText="1"/>
    </xf>
    <xf numFmtId="0" fontId="18" fillId="0" borderId="1"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2" xfId="0" applyFont="1" applyBorder="1" applyAlignment="1">
      <alignment horizontal="center" vertical="center" wrapText="1"/>
    </xf>
    <xf numFmtId="181" fontId="21" fillId="0" borderId="1" xfId="0" applyNumberFormat="1" applyFont="1" applyBorder="1" applyAlignment="1">
      <alignment horizontal="center" vertical="center" wrapText="1"/>
    </xf>
    <xf numFmtId="10" fontId="21" fillId="0" borderId="8" xfId="0" applyNumberFormat="1" applyFont="1" applyBorder="1" applyAlignment="1">
      <alignment horizontal="center" vertical="center"/>
    </xf>
    <xf numFmtId="10" fontId="21" fillId="0" borderId="2" xfId="0" applyNumberFormat="1" applyFont="1" applyBorder="1" applyAlignment="1">
      <alignment horizontal="center" vertical="center"/>
    </xf>
    <xf numFmtId="182" fontId="18" fillId="0" borderId="1" xfId="0" applyNumberFormat="1" applyFont="1" applyBorder="1" applyAlignment="1">
      <alignment horizontal="center" vertical="center" wrapText="1"/>
    </xf>
    <xf numFmtId="182" fontId="18" fillId="0" borderId="8" xfId="0" applyNumberFormat="1" applyFont="1" applyBorder="1" applyAlignment="1">
      <alignment horizontal="center" vertical="center" wrapText="1"/>
    </xf>
    <xf numFmtId="182" fontId="18" fillId="0" borderId="2" xfId="0" applyNumberFormat="1" applyFont="1" applyBorder="1" applyAlignment="1">
      <alignment horizontal="center" vertical="center" wrapText="1"/>
    </xf>
    <xf numFmtId="10" fontId="18" fillId="0" borderId="1" xfId="0" applyNumberFormat="1" applyFont="1" applyBorder="1" applyAlignment="1">
      <alignment horizontal="center" vertical="center" wrapText="1"/>
    </xf>
    <xf numFmtId="10" fontId="18" fillId="0" borderId="8" xfId="0" applyNumberFormat="1" applyFont="1" applyBorder="1" applyAlignment="1">
      <alignment horizontal="center" vertical="center" wrapText="1"/>
    </xf>
    <xf numFmtId="10" fontId="18" fillId="0" borderId="2" xfId="0" applyNumberFormat="1" applyFont="1" applyBorder="1" applyAlignment="1">
      <alignment horizontal="center" vertical="center" wrapText="1"/>
    </xf>
    <xf numFmtId="183" fontId="13" fillId="0" borderId="1" xfId="0" applyNumberFormat="1" applyFont="1" applyBorder="1" applyAlignment="1">
      <alignment horizontal="center" vertical="center" wrapText="1"/>
    </xf>
    <xf numFmtId="183" fontId="13" fillId="0" borderId="8" xfId="0" applyNumberFormat="1" applyFont="1" applyBorder="1" applyAlignment="1">
      <alignment horizontal="center" vertical="center" wrapText="1"/>
    </xf>
    <xf numFmtId="183" fontId="13" fillId="0" borderId="2" xfId="0" applyNumberFormat="1" applyFont="1" applyBorder="1" applyAlignment="1">
      <alignment horizontal="center" vertical="center" wrapText="1"/>
    </xf>
    <xf numFmtId="181" fontId="6" fillId="0" borderId="1" xfId="0" applyNumberFormat="1" applyFont="1" applyBorder="1" applyAlignment="1">
      <alignment horizontal="center" vertical="center" wrapText="1"/>
    </xf>
    <xf numFmtId="10" fontId="22" fillId="0" borderId="8" xfId="0" applyNumberFormat="1" applyFont="1" applyBorder="1" applyAlignment="1">
      <alignment horizontal="center" vertical="center"/>
    </xf>
    <xf numFmtId="10" fontId="22" fillId="0" borderId="2" xfId="0" applyNumberFormat="1" applyFont="1" applyBorder="1" applyAlignment="1">
      <alignment horizontal="center" vertical="center"/>
    </xf>
    <xf numFmtId="183" fontId="18" fillId="0" borderId="1" xfId="0" applyNumberFormat="1" applyFont="1" applyBorder="1" applyAlignment="1">
      <alignment horizontal="center" vertical="center" wrapText="1"/>
    </xf>
    <xf numFmtId="183" fontId="18" fillId="0" borderId="8" xfId="0" applyNumberFormat="1" applyFont="1" applyBorder="1" applyAlignment="1">
      <alignment horizontal="center" vertical="center" wrapText="1"/>
    </xf>
    <xf numFmtId="183" fontId="18" fillId="0" borderId="2" xfId="0" applyNumberFormat="1" applyFont="1" applyBorder="1" applyAlignment="1">
      <alignment horizontal="center" vertical="center" wrapText="1"/>
    </xf>
    <xf numFmtId="10" fontId="7" fillId="0" borderId="1" xfId="0" applyNumberFormat="1" applyFont="1" applyBorder="1" applyAlignment="1">
      <alignment horizontal="center" vertical="center" wrapText="1"/>
    </xf>
    <xf numFmtId="10" fontId="7" fillId="0" borderId="8" xfId="0" applyNumberFormat="1" applyFont="1" applyBorder="1" applyAlignment="1">
      <alignment horizontal="center" vertical="center" wrapText="1"/>
    </xf>
    <xf numFmtId="10" fontId="7" fillId="0" borderId="2" xfId="0" applyNumberFormat="1" applyFont="1" applyBorder="1" applyAlignment="1">
      <alignment horizontal="center" vertical="center" wrapText="1"/>
    </xf>
    <xf numFmtId="0" fontId="7" fillId="0" borderId="1" xfId="0" applyFont="1" applyBorder="1" applyAlignment="1">
      <alignment horizontal="left" vertical="center" wrapText="1"/>
    </xf>
    <xf numFmtId="0" fontId="7" fillId="0" borderId="8" xfId="0" applyFont="1" applyBorder="1" applyAlignment="1">
      <alignment horizontal="left" vertical="center" wrapText="1"/>
    </xf>
    <xf numFmtId="0" fontId="7" fillId="0" borderId="2" xfId="0" applyFont="1" applyBorder="1" applyAlignment="1">
      <alignment horizontal="left" vertical="center" wrapText="1"/>
    </xf>
    <xf numFmtId="0" fontId="7" fillId="0" borderId="0" xfId="0" applyFont="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tabSelected="1" zoomScale="115" zoomScaleNormal="115" topLeftCell="A3" workbookViewId="0">
      <selection activeCell="F30" sqref="F30"/>
    </sheetView>
  </sheetViews>
  <sheetFormatPr defaultColWidth="9" defaultRowHeight="16.8"/>
  <cols>
    <col min="1" max="1" width="11.375" style="2" customWidth="1"/>
    <col min="2" max="2" width="26.375" style="2" customWidth="1"/>
    <col min="3" max="3" width="15.125" style="2" customWidth="1"/>
    <col min="4" max="4" width="11.625" style="2" customWidth="1"/>
    <col min="5" max="5" width="28.625" style="2" customWidth="1"/>
    <col min="6" max="6" width="8.75" style="2" customWidth="1"/>
    <col min="7" max="7" width="52" style="2" customWidth="1"/>
    <col min="8" max="9" width="9" style="2"/>
    <col min="10" max="10" width="16.875" style="2" customWidth="1"/>
    <col min="11" max="11" width="6.625" style="2" customWidth="1"/>
    <col min="12" max="256" width="9" style="2"/>
    <col min="257" max="257" width="11.375" style="2" customWidth="1"/>
    <col min="258" max="258" width="26.375" style="2" customWidth="1"/>
    <col min="259" max="259" width="15.125" style="2" customWidth="1"/>
    <col min="260" max="260" width="11.625" style="2" customWidth="1"/>
    <col min="261" max="261" width="16.625" style="2" customWidth="1"/>
    <col min="262" max="262" width="8.75" style="2" customWidth="1"/>
    <col min="263" max="263" width="38.5" style="2" customWidth="1"/>
    <col min="264" max="265" width="9" style="2"/>
    <col min="266" max="266" width="16.625" style="2" customWidth="1"/>
    <col min="267" max="267" width="6.625" style="2" customWidth="1"/>
    <col min="268" max="512" width="9" style="2"/>
    <col min="513" max="513" width="11.375" style="2" customWidth="1"/>
    <col min="514" max="514" width="26.375" style="2" customWidth="1"/>
    <col min="515" max="515" width="15.125" style="2" customWidth="1"/>
    <col min="516" max="516" width="11.625" style="2" customWidth="1"/>
    <col min="517" max="517" width="16.625" style="2" customWidth="1"/>
    <col min="518" max="518" width="8.75" style="2" customWidth="1"/>
    <col min="519" max="519" width="38.5" style="2" customWidth="1"/>
    <col min="520" max="521" width="9" style="2"/>
    <col min="522" max="522" width="16.625" style="2" customWidth="1"/>
    <col min="523" max="523" width="6.625" style="2" customWidth="1"/>
    <col min="524" max="768" width="9" style="2"/>
    <col min="769" max="769" width="11.375" style="2" customWidth="1"/>
    <col min="770" max="770" width="26.375" style="2" customWidth="1"/>
    <col min="771" max="771" width="15.125" style="2" customWidth="1"/>
    <col min="772" max="772" width="11.625" style="2" customWidth="1"/>
    <col min="773" max="773" width="16.625" style="2" customWidth="1"/>
    <col min="774" max="774" width="8.75" style="2" customWidth="1"/>
    <col min="775" max="775" width="38.5" style="2" customWidth="1"/>
    <col min="776" max="777" width="9" style="2"/>
    <col min="778" max="778" width="16.625" style="2" customWidth="1"/>
    <col min="779" max="779" width="6.625" style="2" customWidth="1"/>
    <col min="780" max="1024" width="9" style="2"/>
    <col min="1025" max="1025" width="11.375" style="2" customWidth="1"/>
    <col min="1026" max="1026" width="26.375" style="2" customWidth="1"/>
    <col min="1027" max="1027" width="15.125" style="2" customWidth="1"/>
    <col min="1028" max="1028" width="11.625" style="2" customWidth="1"/>
    <col min="1029" max="1029" width="16.625" style="2" customWidth="1"/>
    <col min="1030" max="1030" width="8.75" style="2" customWidth="1"/>
    <col min="1031" max="1031" width="38.5" style="2" customWidth="1"/>
    <col min="1032" max="1033" width="9" style="2"/>
    <col min="1034" max="1034" width="16.625" style="2" customWidth="1"/>
    <col min="1035" max="1035" width="6.625" style="2" customWidth="1"/>
    <col min="1036" max="1280" width="9" style="2"/>
    <col min="1281" max="1281" width="11.375" style="2" customWidth="1"/>
    <col min="1282" max="1282" width="26.375" style="2" customWidth="1"/>
    <col min="1283" max="1283" width="15.125" style="2" customWidth="1"/>
    <col min="1284" max="1284" width="11.625" style="2" customWidth="1"/>
    <col min="1285" max="1285" width="16.625" style="2" customWidth="1"/>
    <col min="1286" max="1286" width="8.75" style="2" customWidth="1"/>
    <col min="1287" max="1287" width="38.5" style="2" customWidth="1"/>
    <col min="1288" max="1289" width="9" style="2"/>
    <col min="1290" max="1290" width="16.625" style="2" customWidth="1"/>
    <col min="1291" max="1291" width="6.625" style="2" customWidth="1"/>
    <col min="1292" max="1536" width="9" style="2"/>
    <col min="1537" max="1537" width="11.375" style="2" customWidth="1"/>
    <col min="1538" max="1538" width="26.375" style="2" customWidth="1"/>
    <col min="1539" max="1539" width="15.125" style="2" customWidth="1"/>
    <col min="1540" max="1540" width="11.625" style="2" customWidth="1"/>
    <col min="1541" max="1541" width="16.625" style="2" customWidth="1"/>
    <col min="1542" max="1542" width="8.75" style="2" customWidth="1"/>
    <col min="1543" max="1543" width="38.5" style="2" customWidth="1"/>
    <col min="1544" max="1545" width="9" style="2"/>
    <col min="1546" max="1546" width="16.625" style="2" customWidth="1"/>
    <col min="1547" max="1547" width="6.625" style="2" customWidth="1"/>
    <col min="1548" max="1792" width="9" style="2"/>
    <col min="1793" max="1793" width="11.375" style="2" customWidth="1"/>
    <col min="1794" max="1794" width="26.375" style="2" customWidth="1"/>
    <col min="1795" max="1795" width="15.125" style="2" customWidth="1"/>
    <col min="1796" max="1796" width="11.625" style="2" customWidth="1"/>
    <col min="1797" max="1797" width="16.625" style="2" customWidth="1"/>
    <col min="1798" max="1798" width="8.75" style="2" customWidth="1"/>
    <col min="1799" max="1799" width="38.5" style="2" customWidth="1"/>
    <col min="1800" max="1801" width="9" style="2"/>
    <col min="1802" max="1802" width="16.625" style="2" customWidth="1"/>
    <col min="1803" max="1803" width="6.625" style="2" customWidth="1"/>
    <col min="1804" max="2048" width="9" style="2"/>
    <col min="2049" max="2049" width="11.375" style="2" customWidth="1"/>
    <col min="2050" max="2050" width="26.375" style="2" customWidth="1"/>
    <col min="2051" max="2051" width="15.125" style="2" customWidth="1"/>
    <col min="2052" max="2052" width="11.625" style="2" customWidth="1"/>
    <col min="2053" max="2053" width="16.625" style="2" customWidth="1"/>
    <col min="2054" max="2054" width="8.75" style="2" customWidth="1"/>
    <col min="2055" max="2055" width="38.5" style="2" customWidth="1"/>
    <col min="2056" max="2057" width="9" style="2"/>
    <col min="2058" max="2058" width="16.625" style="2" customWidth="1"/>
    <col min="2059" max="2059" width="6.625" style="2" customWidth="1"/>
    <col min="2060" max="2304" width="9" style="2"/>
    <col min="2305" max="2305" width="11.375" style="2" customWidth="1"/>
    <col min="2306" max="2306" width="26.375" style="2" customWidth="1"/>
    <col min="2307" max="2307" width="15.125" style="2" customWidth="1"/>
    <col min="2308" max="2308" width="11.625" style="2" customWidth="1"/>
    <col min="2309" max="2309" width="16.625" style="2" customWidth="1"/>
    <col min="2310" max="2310" width="8.75" style="2" customWidth="1"/>
    <col min="2311" max="2311" width="38.5" style="2" customWidth="1"/>
    <col min="2312" max="2313" width="9" style="2"/>
    <col min="2314" max="2314" width="16.625" style="2" customWidth="1"/>
    <col min="2315" max="2315" width="6.625" style="2" customWidth="1"/>
    <col min="2316" max="2560" width="9" style="2"/>
    <col min="2561" max="2561" width="11.375" style="2" customWidth="1"/>
    <col min="2562" max="2562" width="26.375" style="2" customWidth="1"/>
    <col min="2563" max="2563" width="15.125" style="2" customWidth="1"/>
    <col min="2564" max="2564" width="11.625" style="2" customWidth="1"/>
    <col min="2565" max="2565" width="16.625" style="2" customWidth="1"/>
    <col min="2566" max="2566" width="8.75" style="2" customWidth="1"/>
    <col min="2567" max="2567" width="38.5" style="2" customWidth="1"/>
    <col min="2568" max="2569" width="9" style="2"/>
    <col min="2570" max="2570" width="16.625" style="2" customWidth="1"/>
    <col min="2571" max="2571" width="6.625" style="2" customWidth="1"/>
    <col min="2572" max="2816" width="9" style="2"/>
    <col min="2817" max="2817" width="11.375" style="2" customWidth="1"/>
    <col min="2818" max="2818" width="26.375" style="2" customWidth="1"/>
    <col min="2819" max="2819" width="15.125" style="2" customWidth="1"/>
    <col min="2820" max="2820" width="11.625" style="2" customWidth="1"/>
    <col min="2821" max="2821" width="16.625" style="2" customWidth="1"/>
    <col min="2822" max="2822" width="8.75" style="2" customWidth="1"/>
    <col min="2823" max="2823" width="38.5" style="2" customWidth="1"/>
    <col min="2824" max="2825" width="9" style="2"/>
    <col min="2826" max="2826" width="16.625" style="2" customWidth="1"/>
    <col min="2827" max="2827" width="6.625" style="2" customWidth="1"/>
    <col min="2828" max="3072" width="9" style="2"/>
    <col min="3073" max="3073" width="11.375" style="2" customWidth="1"/>
    <col min="3074" max="3074" width="26.375" style="2" customWidth="1"/>
    <col min="3075" max="3075" width="15.125" style="2" customWidth="1"/>
    <col min="3076" max="3076" width="11.625" style="2" customWidth="1"/>
    <col min="3077" max="3077" width="16.625" style="2" customWidth="1"/>
    <col min="3078" max="3078" width="8.75" style="2" customWidth="1"/>
    <col min="3079" max="3079" width="38.5" style="2" customWidth="1"/>
    <col min="3080" max="3081" width="9" style="2"/>
    <col min="3082" max="3082" width="16.625" style="2" customWidth="1"/>
    <col min="3083" max="3083" width="6.625" style="2" customWidth="1"/>
    <col min="3084" max="3328" width="9" style="2"/>
    <col min="3329" max="3329" width="11.375" style="2" customWidth="1"/>
    <col min="3330" max="3330" width="26.375" style="2" customWidth="1"/>
    <col min="3331" max="3331" width="15.125" style="2" customWidth="1"/>
    <col min="3332" max="3332" width="11.625" style="2" customWidth="1"/>
    <col min="3333" max="3333" width="16.625" style="2" customWidth="1"/>
    <col min="3334" max="3334" width="8.75" style="2" customWidth="1"/>
    <col min="3335" max="3335" width="38.5" style="2" customWidth="1"/>
    <col min="3336" max="3337" width="9" style="2"/>
    <col min="3338" max="3338" width="16.625" style="2" customWidth="1"/>
    <col min="3339" max="3339" width="6.625" style="2" customWidth="1"/>
    <col min="3340" max="3584" width="9" style="2"/>
    <col min="3585" max="3585" width="11.375" style="2" customWidth="1"/>
    <col min="3586" max="3586" width="26.375" style="2" customWidth="1"/>
    <col min="3587" max="3587" width="15.125" style="2" customWidth="1"/>
    <col min="3588" max="3588" width="11.625" style="2" customWidth="1"/>
    <col min="3589" max="3589" width="16.625" style="2" customWidth="1"/>
    <col min="3590" max="3590" width="8.75" style="2" customWidth="1"/>
    <col min="3591" max="3591" width="38.5" style="2" customWidth="1"/>
    <col min="3592" max="3593" width="9" style="2"/>
    <col min="3594" max="3594" width="16.625" style="2" customWidth="1"/>
    <col min="3595" max="3595" width="6.625" style="2" customWidth="1"/>
    <col min="3596" max="3840" width="9" style="2"/>
    <col min="3841" max="3841" width="11.375" style="2" customWidth="1"/>
    <col min="3842" max="3842" width="26.375" style="2" customWidth="1"/>
    <col min="3843" max="3843" width="15.125" style="2" customWidth="1"/>
    <col min="3844" max="3844" width="11.625" style="2" customWidth="1"/>
    <col min="3845" max="3845" width="16.625" style="2" customWidth="1"/>
    <col min="3846" max="3846" width="8.75" style="2" customWidth="1"/>
    <col min="3847" max="3847" width="38.5" style="2" customWidth="1"/>
    <col min="3848" max="3849" width="9" style="2"/>
    <col min="3850" max="3850" width="16.625" style="2" customWidth="1"/>
    <col min="3851" max="3851" width="6.625" style="2" customWidth="1"/>
    <col min="3852" max="4096" width="9" style="2"/>
    <col min="4097" max="4097" width="11.375" style="2" customWidth="1"/>
    <col min="4098" max="4098" width="26.375" style="2" customWidth="1"/>
    <col min="4099" max="4099" width="15.125" style="2" customWidth="1"/>
    <col min="4100" max="4100" width="11.625" style="2" customWidth="1"/>
    <col min="4101" max="4101" width="16.625" style="2" customWidth="1"/>
    <col min="4102" max="4102" width="8.75" style="2" customWidth="1"/>
    <col min="4103" max="4103" width="38.5" style="2" customWidth="1"/>
    <col min="4104" max="4105" width="9" style="2"/>
    <col min="4106" max="4106" width="16.625" style="2" customWidth="1"/>
    <col min="4107" max="4107" width="6.625" style="2" customWidth="1"/>
    <col min="4108" max="4352" width="9" style="2"/>
    <col min="4353" max="4353" width="11.375" style="2" customWidth="1"/>
    <col min="4354" max="4354" width="26.375" style="2" customWidth="1"/>
    <col min="4355" max="4355" width="15.125" style="2" customWidth="1"/>
    <col min="4356" max="4356" width="11.625" style="2" customWidth="1"/>
    <col min="4357" max="4357" width="16.625" style="2" customWidth="1"/>
    <col min="4358" max="4358" width="8.75" style="2" customWidth="1"/>
    <col min="4359" max="4359" width="38.5" style="2" customWidth="1"/>
    <col min="4360" max="4361" width="9" style="2"/>
    <col min="4362" max="4362" width="16.625" style="2" customWidth="1"/>
    <col min="4363" max="4363" width="6.625" style="2" customWidth="1"/>
    <col min="4364" max="4608" width="9" style="2"/>
    <col min="4609" max="4609" width="11.375" style="2" customWidth="1"/>
    <col min="4610" max="4610" width="26.375" style="2" customWidth="1"/>
    <col min="4611" max="4611" width="15.125" style="2" customWidth="1"/>
    <col min="4612" max="4612" width="11.625" style="2" customWidth="1"/>
    <col min="4613" max="4613" width="16.625" style="2" customWidth="1"/>
    <col min="4614" max="4614" width="8.75" style="2" customWidth="1"/>
    <col min="4615" max="4615" width="38.5" style="2" customWidth="1"/>
    <col min="4616" max="4617" width="9" style="2"/>
    <col min="4618" max="4618" width="16.625" style="2" customWidth="1"/>
    <col min="4619" max="4619" width="6.625" style="2" customWidth="1"/>
    <col min="4620" max="4864" width="9" style="2"/>
    <col min="4865" max="4865" width="11.375" style="2" customWidth="1"/>
    <col min="4866" max="4866" width="26.375" style="2" customWidth="1"/>
    <col min="4867" max="4867" width="15.125" style="2" customWidth="1"/>
    <col min="4868" max="4868" width="11.625" style="2" customWidth="1"/>
    <col min="4869" max="4869" width="16.625" style="2" customWidth="1"/>
    <col min="4870" max="4870" width="8.75" style="2" customWidth="1"/>
    <col min="4871" max="4871" width="38.5" style="2" customWidth="1"/>
    <col min="4872" max="4873" width="9" style="2"/>
    <col min="4874" max="4874" width="16.625" style="2" customWidth="1"/>
    <col min="4875" max="4875" width="6.625" style="2" customWidth="1"/>
    <col min="4876" max="5120" width="9" style="2"/>
    <col min="5121" max="5121" width="11.375" style="2" customWidth="1"/>
    <col min="5122" max="5122" width="26.375" style="2" customWidth="1"/>
    <col min="5123" max="5123" width="15.125" style="2" customWidth="1"/>
    <col min="5124" max="5124" width="11.625" style="2" customWidth="1"/>
    <col min="5125" max="5125" width="16.625" style="2" customWidth="1"/>
    <col min="5126" max="5126" width="8.75" style="2" customWidth="1"/>
    <col min="5127" max="5127" width="38.5" style="2" customWidth="1"/>
    <col min="5128" max="5129" width="9" style="2"/>
    <col min="5130" max="5130" width="16.625" style="2" customWidth="1"/>
    <col min="5131" max="5131" width="6.625" style="2" customWidth="1"/>
    <col min="5132" max="5376" width="9" style="2"/>
    <col min="5377" max="5377" width="11.375" style="2" customWidth="1"/>
    <col min="5378" max="5378" width="26.375" style="2" customWidth="1"/>
    <col min="5379" max="5379" width="15.125" style="2" customWidth="1"/>
    <col min="5380" max="5380" width="11.625" style="2" customWidth="1"/>
    <col min="5381" max="5381" width="16.625" style="2" customWidth="1"/>
    <col min="5382" max="5382" width="8.75" style="2" customWidth="1"/>
    <col min="5383" max="5383" width="38.5" style="2" customWidth="1"/>
    <col min="5384" max="5385" width="9" style="2"/>
    <col min="5386" max="5386" width="16.625" style="2" customWidth="1"/>
    <col min="5387" max="5387" width="6.625" style="2" customWidth="1"/>
    <col min="5388" max="5632" width="9" style="2"/>
    <col min="5633" max="5633" width="11.375" style="2" customWidth="1"/>
    <col min="5634" max="5634" width="26.375" style="2" customWidth="1"/>
    <col min="5635" max="5635" width="15.125" style="2" customWidth="1"/>
    <col min="5636" max="5636" width="11.625" style="2" customWidth="1"/>
    <col min="5637" max="5637" width="16.625" style="2" customWidth="1"/>
    <col min="5638" max="5638" width="8.75" style="2" customWidth="1"/>
    <col min="5639" max="5639" width="38.5" style="2" customWidth="1"/>
    <col min="5640" max="5641" width="9" style="2"/>
    <col min="5642" max="5642" width="16.625" style="2" customWidth="1"/>
    <col min="5643" max="5643" width="6.625" style="2" customWidth="1"/>
    <col min="5644" max="5888" width="9" style="2"/>
    <col min="5889" max="5889" width="11.375" style="2" customWidth="1"/>
    <col min="5890" max="5890" width="26.375" style="2" customWidth="1"/>
    <col min="5891" max="5891" width="15.125" style="2" customWidth="1"/>
    <col min="5892" max="5892" width="11.625" style="2" customWidth="1"/>
    <col min="5893" max="5893" width="16.625" style="2" customWidth="1"/>
    <col min="5894" max="5894" width="8.75" style="2" customWidth="1"/>
    <col min="5895" max="5895" width="38.5" style="2" customWidth="1"/>
    <col min="5896" max="5897" width="9" style="2"/>
    <col min="5898" max="5898" width="16.625" style="2" customWidth="1"/>
    <col min="5899" max="5899" width="6.625" style="2" customWidth="1"/>
    <col min="5900" max="6144" width="9" style="2"/>
    <col min="6145" max="6145" width="11.375" style="2" customWidth="1"/>
    <col min="6146" max="6146" width="26.375" style="2" customWidth="1"/>
    <col min="6147" max="6147" width="15.125" style="2" customWidth="1"/>
    <col min="6148" max="6148" width="11.625" style="2" customWidth="1"/>
    <col min="6149" max="6149" width="16.625" style="2" customWidth="1"/>
    <col min="6150" max="6150" width="8.75" style="2" customWidth="1"/>
    <col min="6151" max="6151" width="38.5" style="2" customWidth="1"/>
    <col min="6152" max="6153" width="9" style="2"/>
    <col min="6154" max="6154" width="16.625" style="2" customWidth="1"/>
    <col min="6155" max="6155" width="6.625" style="2" customWidth="1"/>
    <col min="6156" max="6400" width="9" style="2"/>
    <col min="6401" max="6401" width="11.375" style="2" customWidth="1"/>
    <col min="6402" max="6402" width="26.375" style="2" customWidth="1"/>
    <col min="6403" max="6403" width="15.125" style="2" customWidth="1"/>
    <col min="6404" max="6404" width="11.625" style="2" customWidth="1"/>
    <col min="6405" max="6405" width="16.625" style="2" customWidth="1"/>
    <col min="6406" max="6406" width="8.75" style="2" customWidth="1"/>
    <col min="6407" max="6407" width="38.5" style="2" customWidth="1"/>
    <col min="6408" max="6409" width="9" style="2"/>
    <col min="6410" max="6410" width="16.625" style="2" customWidth="1"/>
    <col min="6411" max="6411" width="6.625" style="2" customWidth="1"/>
    <col min="6412" max="6656" width="9" style="2"/>
    <col min="6657" max="6657" width="11.375" style="2" customWidth="1"/>
    <col min="6658" max="6658" width="26.375" style="2" customWidth="1"/>
    <col min="6659" max="6659" width="15.125" style="2" customWidth="1"/>
    <col min="6660" max="6660" width="11.625" style="2" customWidth="1"/>
    <col min="6661" max="6661" width="16.625" style="2" customWidth="1"/>
    <col min="6662" max="6662" width="8.75" style="2" customWidth="1"/>
    <col min="6663" max="6663" width="38.5" style="2" customWidth="1"/>
    <col min="6664" max="6665" width="9" style="2"/>
    <col min="6666" max="6666" width="16.625" style="2" customWidth="1"/>
    <col min="6667" max="6667" width="6.625" style="2" customWidth="1"/>
    <col min="6668" max="6912" width="9" style="2"/>
    <col min="6913" max="6913" width="11.375" style="2" customWidth="1"/>
    <col min="6914" max="6914" width="26.375" style="2" customWidth="1"/>
    <col min="6915" max="6915" width="15.125" style="2" customWidth="1"/>
    <col min="6916" max="6916" width="11.625" style="2" customWidth="1"/>
    <col min="6917" max="6917" width="16.625" style="2" customWidth="1"/>
    <col min="6918" max="6918" width="8.75" style="2" customWidth="1"/>
    <col min="6919" max="6919" width="38.5" style="2" customWidth="1"/>
    <col min="6920" max="6921" width="9" style="2"/>
    <col min="6922" max="6922" width="16.625" style="2" customWidth="1"/>
    <col min="6923" max="6923" width="6.625" style="2" customWidth="1"/>
    <col min="6924" max="7168" width="9" style="2"/>
    <col min="7169" max="7169" width="11.375" style="2" customWidth="1"/>
    <col min="7170" max="7170" width="26.375" style="2" customWidth="1"/>
    <col min="7171" max="7171" width="15.125" style="2" customWidth="1"/>
    <col min="7172" max="7172" width="11.625" style="2" customWidth="1"/>
    <col min="7173" max="7173" width="16.625" style="2" customWidth="1"/>
    <col min="7174" max="7174" width="8.75" style="2" customWidth="1"/>
    <col min="7175" max="7175" width="38.5" style="2" customWidth="1"/>
    <col min="7176" max="7177" width="9" style="2"/>
    <col min="7178" max="7178" width="16.625" style="2" customWidth="1"/>
    <col min="7179" max="7179" width="6.625" style="2" customWidth="1"/>
    <col min="7180" max="7424" width="9" style="2"/>
    <col min="7425" max="7425" width="11.375" style="2" customWidth="1"/>
    <col min="7426" max="7426" width="26.375" style="2" customWidth="1"/>
    <col min="7427" max="7427" width="15.125" style="2" customWidth="1"/>
    <col min="7428" max="7428" width="11.625" style="2" customWidth="1"/>
    <col min="7429" max="7429" width="16.625" style="2" customWidth="1"/>
    <col min="7430" max="7430" width="8.75" style="2" customWidth="1"/>
    <col min="7431" max="7431" width="38.5" style="2" customWidth="1"/>
    <col min="7432" max="7433" width="9" style="2"/>
    <col min="7434" max="7434" width="16.625" style="2" customWidth="1"/>
    <col min="7435" max="7435" width="6.625" style="2" customWidth="1"/>
    <col min="7436" max="7680" width="9" style="2"/>
    <col min="7681" max="7681" width="11.375" style="2" customWidth="1"/>
    <col min="7682" max="7682" width="26.375" style="2" customWidth="1"/>
    <col min="7683" max="7683" width="15.125" style="2" customWidth="1"/>
    <col min="7684" max="7684" width="11.625" style="2" customWidth="1"/>
    <col min="7685" max="7685" width="16.625" style="2" customWidth="1"/>
    <col min="7686" max="7686" width="8.75" style="2" customWidth="1"/>
    <col min="7687" max="7687" width="38.5" style="2" customWidth="1"/>
    <col min="7688" max="7689" width="9" style="2"/>
    <col min="7690" max="7690" width="16.625" style="2" customWidth="1"/>
    <col min="7691" max="7691" width="6.625" style="2" customWidth="1"/>
    <col min="7692" max="7936" width="9" style="2"/>
    <col min="7937" max="7937" width="11.375" style="2" customWidth="1"/>
    <col min="7938" max="7938" width="26.375" style="2" customWidth="1"/>
    <col min="7939" max="7939" width="15.125" style="2" customWidth="1"/>
    <col min="7940" max="7940" width="11.625" style="2" customWidth="1"/>
    <col min="7941" max="7941" width="16.625" style="2" customWidth="1"/>
    <col min="7942" max="7942" width="8.75" style="2" customWidth="1"/>
    <col min="7943" max="7943" width="38.5" style="2" customWidth="1"/>
    <col min="7944" max="7945" width="9" style="2"/>
    <col min="7946" max="7946" width="16.625" style="2" customWidth="1"/>
    <col min="7947" max="7947" width="6.625" style="2" customWidth="1"/>
    <col min="7948" max="8192" width="9" style="2"/>
    <col min="8193" max="8193" width="11.375" style="2" customWidth="1"/>
    <col min="8194" max="8194" width="26.375" style="2" customWidth="1"/>
    <col min="8195" max="8195" width="15.125" style="2" customWidth="1"/>
    <col min="8196" max="8196" width="11.625" style="2" customWidth="1"/>
    <col min="8197" max="8197" width="16.625" style="2" customWidth="1"/>
    <col min="8198" max="8198" width="8.75" style="2" customWidth="1"/>
    <col min="8199" max="8199" width="38.5" style="2" customWidth="1"/>
    <col min="8200" max="8201" width="9" style="2"/>
    <col min="8202" max="8202" width="16.625" style="2" customWidth="1"/>
    <col min="8203" max="8203" width="6.625" style="2" customWidth="1"/>
    <col min="8204" max="8448" width="9" style="2"/>
    <col min="8449" max="8449" width="11.375" style="2" customWidth="1"/>
    <col min="8450" max="8450" width="26.375" style="2" customWidth="1"/>
    <col min="8451" max="8451" width="15.125" style="2" customWidth="1"/>
    <col min="8452" max="8452" width="11.625" style="2" customWidth="1"/>
    <col min="8453" max="8453" width="16.625" style="2" customWidth="1"/>
    <col min="8454" max="8454" width="8.75" style="2" customWidth="1"/>
    <col min="8455" max="8455" width="38.5" style="2" customWidth="1"/>
    <col min="8456" max="8457" width="9" style="2"/>
    <col min="8458" max="8458" width="16.625" style="2" customWidth="1"/>
    <col min="8459" max="8459" width="6.625" style="2" customWidth="1"/>
    <col min="8460" max="8704" width="9" style="2"/>
    <col min="8705" max="8705" width="11.375" style="2" customWidth="1"/>
    <col min="8706" max="8706" width="26.375" style="2" customWidth="1"/>
    <col min="8707" max="8707" width="15.125" style="2" customWidth="1"/>
    <col min="8708" max="8708" width="11.625" style="2" customWidth="1"/>
    <col min="8709" max="8709" width="16.625" style="2" customWidth="1"/>
    <col min="8710" max="8710" width="8.75" style="2" customWidth="1"/>
    <col min="8711" max="8711" width="38.5" style="2" customWidth="1"/>
    <col min="8712" max="8713" width="9" style="2"/>
    <col min="8714" max="8714" width="16.625" style="2" customWidth="1"/>
    <col min="8715" max="8715" width="6.625" style="2" customWidth="1"/>
    <col min="8716" max="8960" width="9" style="2"/>
    <col min="8961" max="8961" width="11.375" style="2" customWidth="1"/>
    <col min="8962" max="8962" width="26.375" style="2" customWidth="1"/>
    <col min="8963" max="8963" width="15.125" style="2" customWidth="1"/>
    <col min="8964" max="8964" width="11.625" style="2" customWidth="1"/>
    <col min="8965" max="8965" width="16.625" style="2" customWidth="1"/>
    <col min="8966" max="8966" width="8.75" style="2" customWidth="1"/>
    <col min="8967" max="8967" width="38.5" style="2" customWidth="1"/>
    <col min="8968" max="8969" width="9" style="2"/>
    <col min="8970" max="8970" width="16.625" style="2" customWidth="1"/>
    <col min="8971" max="8971" width="6.625" style="2" customWidth="1"/>
    <col min="8972" max="9216" width="9" style="2"/>
    <col min="9217" max="9217" width="11.375" style="2" customWidth="1"/>
    <col min="9218" max="9218" width="26.375" style="2" customWidth="1"/>
    <col min="9219" max="9219" width="15.125" style="2" customWidth="1"/>
    <col min="9220" max="9220" width="11.625" style="2" customWidth="1"/>
    <col min="9221" max="9221" width="16.625" style="2" customWidth="1"/>
    <col min="9222" max="9222" width="8.75" style="2" customWidth="1"/>
    <col min="9223" max="9223" width="38.5" style="2" customWidth="1"/>
    <col min="9224" max="9225" width="9" style="2"/>
    <col min="9226" max="9226" width="16.625" style="2" customWidth="1"/>
    <col min="9227" max="9227" width="6.625" style="2" customWidth="1"/>
    <col min="9228" max="9472" width="9" style="2"/>
    <col min="9473" max="9473" width="11.375" style="2" customWidth="1"/>
    <col min="9474" max="9474" width="26.375" style="2" customWidth="1"/>
    <col min="9475" max="9475" width="15.125" style="2" customWidth="1"/>
    <col min="9476" max="9476" width="11.625" style="2" customWidth="1"/>
    <col min="9477" max="9477" width="16.625" style="2" customWidth="1"/>
    <col min="9478" max="9478" width="8.75" style="2" customWidth="1"/>
    <col min="9479" max="9479" width="38.5" style="2" customWidth="1"/>
    <col min="9480" max="9481" width="9" style="2"/>
    <col min="9482" max="9482" width="16.625" style="2" customWidth="1"/>
    <col min="9483" max="9483" width="6.625" style="2" customWidth="1"/>
    <col min="9484" max="9728" width="9" style="2"/>
    <col min="9729" max="9729" width="11.375" style="2" customWidth="1"/>
    <col min="9730" max="9730" width="26.375" style="2" customWidth="1"/>
    <col min="9731" max="9731" width="15.125" style="2" customWidth="1"/>
    <col min="9732" max="9732" width="11.625" style="2" customWidth="1"/>
    <col min="9733" max="9733" width="16.625" style="2" customWidth="1"/>
    <col min="9734" max="9734" width="8.75" style="2" customWidth="1"/>
    <col min="9735" max="9735" width="38.5" style="2" customWidth="1"/>
    <col min="9736" max="9737" width="9" style="2"/>
    <col min="9738" max="9738" width="16.625" style="2" customWidth="1"/>
    <col min="9739" max="9739" width="6.625" style="2" customWidth="1"/>
    <col min="9740" max="9984" width="9" style="2"/>
    <col min="9985" max="9985" width="11.375" style="2" customWidth="1"/>
    <col min="9986" max="9986" width="26.375" style="2" customWidth="1"/>
    <col min="9987" max="9987" width="15.125" style="2" customWidth="1"/>
    <col min="9988" max="9988" width="11.625" style="2" customWidth="1"/>
    <col min="9989" max="9989" width="16.625" style="2" customWidth="1"/>
    <col min="9990" max="9990" width="8.75" style="2" customWidth="1"/>
    <col min="9991" max="9991" width="38.5" style="2" customWidth="1"/>
    <col min="9992" max="9993" width="9" style="2"/>
    <col min="9994" max="9994" width="16.625" style="2" customWidth="1"/>
    <col min="9995" max="9995" width="6.625" style="2" customWidth="1"/>
    <col min="9996" max="10240" width="9" style="2"/>
    <col min="10241" max="10241" width="11.375" style="2" customWidth="1"/>
    <col min="10242" max="10242" width="26.375" style="2" customWidth="1"/>
    <col min="10243" max="10243" width="15.125" style="2" customWidth="1"/>
    <col min="10244" max="10244" width="11.625" style="2" customWidth="1"/>
    <col min="10245" max="10245" width="16.625" style="2" customWidth="1"/>
    <col min="10246" max="10246" width="8.75" style="2" customWidth="1"/>
    <col min="10247" max="10247" width="38.5" style="2" customWidth="1"/>
    <col min="10248" max="10249" width="9" style="2"/>
    <col min="10250" max="10250" width="16.625" style="2" customWidth="1"/>
    <col min="10251" max="10251" width="6.625" style="2" customWidth="1"/>
    <col min="10252" max="10496" width="9" style="2"/>
    <col min="10497" max="10497" width="11.375" style="2" customWidth="1"/>
    <col min="10498" max="10498" width="26.375" style="2" customWidth="1"/>
    <col min="10499" max="10499" width="15.125" style="2" customWidth="1"/>
    <col min="10500" max="10500" width="11.625" style="2" customWidth="1"/>
    <col min="10501" max="10501" width="16.625" style="2" customWidth="1"/>
    <col min="10502" max="10502" width="8.75" style="2" customWidth="1"/>
    <col min="10503" max="10503" width="38.5" style="2" customWidth="1"/>
    <col min="10504" max="10505" width="9" style="2"/>
    <col min="10506" max="10506" width="16.625" style="2" customWidth="1"/>
    <col min="10507" max="10507" width="6.625" style="2" customWidth="1"/>
    <col min="10508" max="10752" width="9" style="2"/>
    <col min="10753" max="10753" width="11.375" style="2" customWidth="1"/>
    <col min="10754" max="10754" width="26.375" style="2" customWidth="1"/>
    <col min="10755" max="10755" width="15.125" style="2" customWidth="1"/>
    <col min="10756" max="10756" width="11.625" style="2" customWidth="1"/>
    <col min="10757" max="10757" width="16.625" style="2" customWidth="1"/>
    <col min="10758" max="10758" width="8.75" style="2" customWidth="1"/>
    <col min="10759" max="10759" width="38.5" style="2" customWidth="1"/>
    <col min="10760" max="10761" width="9" style="2"/>
    <col min="10762" max="10762" width="16.625" style="2" customWidth="1"/>
    <col min="10763" max="10763" width="6.625" style="2" customWidth="1"/>
    <col min="10764" max="11008" width="9" style="2"/>
    <col min="11009" max="11009" width="11.375" style="2" customWidth="1"/>
    <col min="11010" max="11010" width="26.375" style="2" customWidth="1"/>
    <col min="11011" max="11011" width="15.125" style="2" customWidth="1"/>
    <col min="11012" max="11012" width="11.625" style="2" customWidth="1"/>
    <col min="11013" max="11013" width="16.625" style="2" customWidth="1"/>
    <col min="11014" max="11014" width="8.75" style="2" customWidth="1"/>
    <col min="11015" max="11015" width="38.5" style="2" customWidth="1"/>
    <col min="11016" max="11017" width="9" style="2"/>
    <col min="11018" max="11018" width="16.625" style="2" customWidth="1"/>
    <col min="11019" max="11019" width="6.625" style="2" customWidth="1"/>
    <col min="11020" max="11264" width="9" style="2"/>
    <col min="11265" max="11265" width="11.375" style="2" customWidth="1"/>
    <col min="11266" max="11266" width="26.375" style="2" customWidth="1"/>
    <col min="11267" max="11267" width="15.125" style="2" customWidth="1"/>
    <col min="11268" max="11268" width="11.625" style="2" customWidth="1"/>
    <col min="11269" max="11269" width="16.625" style="2" customWidth="1"/>
    <col min="11270" max="11270" width="8.75" style="2" customWidth="1"/>
    <col min="11271" max="11271" width="38.5" style="2" customWidth="1"/>
    <col min="11272" max="11273" width="9" style="2"/>
    <col min="11274" max="11274" width="16.625" style="2" customWidth="1"/>
    <col min="11275" max="11275" width="6.625" style="2" customWidth="1"/>
    <col min="11276" max="11520" width="9" style="2"/>
    <col min="11521" max="11521" width="11.375" style="2" customWidth="1"/>
    <col min="11522" max="11522" width="26.375" style="2" customWidth="1"/>
    <col min="11523" max="11523" width="15.125" style="2" customWidth="1"/>
    <col min="11524" max="11524" width="11.625" style="2" customWidth="1"/>
    <col min="11525" max="11525" width="16.625" style="2" customWidth="1"/>
    <col min="11526" max="11526" width="8.75" style="2" customWidth="1"/>
    <col min="11527" max="11527" width="38.5" style="2" customWidth="1"/>
    <col min="11528" max="11529" width="9" style="2"/>
    <col min="11530" max="11530" width="16.625" style="2" customWidth="1"/>
    <col min="11531" max="11531" width="6.625" style="2" customWidth="1"/>
    <col min="11532" max="11776" width="9" style="2"/>
    <col min="11777" max="11777" width="11.375" style="2" customWidth="1"/>
    <col min="11778" max="11778" width="26.375" style="2" customWidth="1"/>
    <col min="11779" max="11779" width="15.125" style="2" customWidth="1"/>
    <col min="11780" max="11780" width="11.625" style="2" customWidth="1"/>
    <col min="11781" max="11781" width="16.625" style="2" customWidth="1"/>
    <col min="11782" max="11782" width="8.75" style="2" customWidth="1"/>
    <col min="11783" max="11783" width="38.5" style="2" customWidth="1"/>
    <col min="11784" max="11785" width="9" style="2"/>
    <col min="11786" max="11786" width="16.625" style="2" customWidth="1"/>
    <col min="11787" max="11787" width="6.625" style="2" customWidth="1"/>
    <col min="11788" max="12032" width="9" style="2"/>
    <col min="12033" max="12033" width="11.375" style="2" customWidth="1"/>
    <col min="12034" max="12034" width="26.375" style="2" customWidth="1"/>
    <col min="12035" max="12035" width="15.125" style="2" customWidth="1"/>
    <col min="12036" max="12036" width="11.625" style="2" customWidth="1"/>
    <col min="12037" max="12037" width="16.625" style="2" customWidth="1"/>
    <col min="12038" max="12038" width="8.75" style="2" customWidth="1"/>
    <col min="12039" max="12039" width="38.5" style="2" customWidth="1"/>
    <col min="12040" max="12041" width="9" style="2"/>
    <col min="12042" max="12042" width="16.625" style="2" customWidth="1"/>
    <col min="12043" max="12043" width="6.625" style="2" customWidth="1"/>
    <col min="12044" max="12288" width="9" style="2"/>
    <col min="12289" max="12289" width="11.375" style="2" customWidth="1"/>
    <col min="12290" max="12290" width="26.375" style="2" customWidth="1"/>
    <col min="12291" max="12291" width="15.125" style="2" customWidth="1"/>
    <col min="12292" max="12292" width="11.625" style="2" customWidth="1"/>
    <col min="12293" max="12293" width="16.625" style="2" customWidth="1"/>
    <col min="12294" max="12294" width="8.75" style="2" customWidth="1"/>
    <col min="12295" max="12295" width="38.5" style="2" customWidth="1"/>
    <col min="12296" max="12297" width="9" style="2"/>
    <col min="12298" max="12298" width="16.625" style="2" customWidth="1"/>
    <col min="12299" max="12299" width="6.625" style="2" customWidth="1"/>
    <col min="12300" max="12544" width="9" style="2"/>
    <col min="12545" max="12545" width="11.375" style="2" customWidth="1"/>
    <col min="12546" max="12546" width="26.375" style="2" customWidth="1"/>
    <col min="12547" max="12547" width="15.125" style="2" customWidth="1"/>
    <col min="12548" max="12548" width="11.625" style="2" customWidth="1"/>
    <col min="12549" max="12549" width="16.625" style="2" customWidth="1"/>
    <col min="12550" max="12550" width="8.75" style="2" customWidth="1"/>
    <col min="12551" max="12551" width="38.5" style="2" customWidth="1"/>
    <col min="12552" max="12553" width="9" style="2"/>
    <col min="12554" max="12554" width="16.625" style="2" customWidth="1"/>
    <col min="12555" max="12555" width="6.625" style="2" customWidth="1"/>
    <col min="12556" max="12800" width="9" style="2"/>
    <col min="12801" max="12801" width="11.375" style="2" customWidth="1"/>
    <col min="12802" max="12802" width="26.375" style="2" customWidth="1"/>
    <col min="12803" max="12803" width="15.125" style="2" customWidth="1"/>
    <col min="12804" max="12804" width="11.625" style="2" customWidth="1"/>
    <col min="12805" max="12805" width="16.625" style="2" customWidth="1"/>
    <col min="12806" max="12806" width="8.75" style="2" customWidth="1"/>
    <col min="12807" max="12807" width="38.5" style="2" customWidth="1"/>
    <col min="12808" max="12809" width="9" style="2"/>
    <col min="12810" max="12810" width="16.625" style="2" customWidth="1"/>
    <col min="12811" max="12811" width="6.625" style="2" customWidth="1"/>
    <col min="12812" max="13056" width="9" style="2"/>
    <col min="13057" max="13057" width="11.375" style="2" customWidth="1"/>
    <col min="13058" max="13058" width="26.375" style="2" customWidth="1"/>
    <col min="13059" max="13059" width="15.125" style="2" customWidth="1"/>
    <col min="13060" max="13060" width="11.625" style="2" customWidth="1"/>
    <col min="13061" max="13061" width="16.625" style="2" customWidth="1"/>
    <col min="13062" max="13062" width="8.75" style="2" customWidth="1"/>
    <col min="13063" max="13063" width="38.5" style="2" customWidth="1"/>
    <col min="13064" max="13065" width="9" style="2"/>
    <col min="13066" max="13066" width="16.625" style="2" customWidth="1"/>
    <col min="13067" max="13067" width="6.625" style="2" customWidth="1"/>
    <col min="13068" max="13312" width="9" style="2"/>
    <col min="13313" max="13313" width="11.375" style="2" customWidth="1"/>
    <col min="13314" max="13314" width="26.375" style="2" customWidth="1"/>
    <col min="13315" max="13315" width="15.125" style="2" customWidth="1"/>
    <col min="13316" max="13316" width="11.625" style="2" customWidth="1"/>
    <col min="13317" max="13317" width="16.625" style="2" customWidth="1"/>
    <col min="13318" max="13318" width="8.75" style="2" customWidth="1"/>
    <col min="13319" max="13319" width="38.5" style="2" customWidth="1"/>
    <col min="13320" max="13321" width="9" style="2"/>
    <col min="13322" max="13322" width="16.625" style="2" customWidth="1"/>
    <col min="13323" max="13323" width="6.625" style="2" customWidth="1"/>
    <col min="13324" max="13568" width="9" style="2"/>
    <col min="13569" max="13569" width="11.375" style="2" customWidth="1"/>
    <col min="13570" max="13570" width="26.375" style="2" customWidth="1"/>
    <col min="13571" max="13571" width="15.125" style="2" customWidth="1"/>
    <col min="13572" max="13572" width="11.625" style="2" customWidth="1"/>
    <col min="13573" max="13573" width="16.625" style="2" customWidth="1"/>
    <col min="13574" max="13574" width="8.75" style="2" customWidth="1"/>
    <col min="13575" max="13575" width="38.5" style="2" customWidth="1"/>
    <col min="13576" max="13577" width="9" style="2"/>
    <col min="13578" max="13578" width="16.625" style="2" customWidth="1"/>
    <col min="13579" max="13579" width="6.625" style="2" customWidth="1"/>
    <col min="13580" max="13824" width="9" style="2"/>
    <col min="13825" max="13825" width="11.375" style="2" customWidth="1"/>
    <col min="13826" max="13826" width="26.375" style="2" customWidth="1"/>
    <col min="13827" max="13827" width="15.125" style="2" customWidth="1"/>
    <col min="13828" max="13828" width="11.625" style="2" customWidth="1"/>
    <col min="13829" max="13829" width="16.625" style="2" customWidth="1"/>
    <col min="13830" max="13830" width="8.75" style="2" customWidth="1"/>
    <col min="13831" max="13831" width="38.5" style="2" customWidth="1"/>
    <col min="13832" max="13833" width="9" style="2"/>
    <col min="13834" max="13834" width="16.625" style="2" customWidth="1"/>
    <col min="13835" max="13835" width="6.625" style="2" customWidth="1"/>
    <col min="13836" max="14080" width="9" style="2"/>
    <col min="14081" max="14081" width="11.375" style="2" customWidth="1"/>
    <col min="14082" max="14082" width="26.375" style="2" customWidth="1"/>
    <col min="14083" max="14083" width="15.125" style="2" customWidth="1"/>
    <col min="14084" max="14084" width="11.625" style="2" customWidth="1"/>
    <col min="14085" max="14085" width="16.625" style="2" customWidth="1"/>
    <col min="14086" max="14086" width="8.75" style="2" customWidth="1"/>
    <col min="14087" max="14087" width="38.5" style="2" customWidth="1"/>
    <col min="14088" max="14089" width="9" style="2"/>
    <col min="14090" max="14090" width="16.625" style="2" customWidth="1"/>
    <col min="14091" max="14091" width="6.625" style="2" customWidth="1"/>
    <col min="14092" max="14336" width="9" style="2"/>
    <col min="14337" max="14337" width="11.375" style="2" customWidth="1"/>
    <col min="14338" max="14338" width="26.375" style="2" customWidth="1"/>
    <col min="14339" max="14339" width="15.125" style="2" customWidth="1"/>
    <col min="14340" max="14340" width="11.625" style="2" customWidth="1"/>
    <col min="14341" max="14341" width="16.625" style="2" customWidth="1"/>
    <col min="14342" max="14342" width="8.75" style="2" customWidth="1"/>
    <col min="14343" max="14343" width="38.5" style="2" customWidth="1"/>
    <col min="14344" max="14345" width="9" style="2"/>
    <col min="14346" max="14346" width="16.625" style="2" customWidth="1"/>
    <col min="14347" max="14347" width="6.625" style="2" customWidth="1"/>
    <col min="14348" max="14592" width="9" style="2"/>
    <col min="14593" max="14593" width="11.375" style="2" customWidth="1"/>
    <col min="14594" max="14594" width="26.375" style="2" customWidth="1"/>
    <col min="14595" max="14595" width="15.125" style="2" customWidth="1"/>
    <col min="14596" max="14596" width="11.625" style="2" customWidth="1"/>
    <col min="14597" max="14597" width="16.625" style="2" customWidth="1"/>
    <col min="14598" max="14598" width="8.75" style="2" customWidth="1"/>
    <col min="14599" max="14599" width="38.5" style="2" customWidth="1"/>
    <col min="14600" max="14601" width="9" style="2"/>
    <col min="14602" max="14602" width="16.625" style="2" customWidth="1"/>
    <col min="14603" max="14603" width="6.625" style="2" customWidth="1"/>
    <col min="14604" max="14848" width="9" style="2"/>
    <col min="14849" max="14849" width="11.375" style="2" customWidth="1"/>
    <col min="14850" max="14850" width="26.375" style="2" customWidth="1"/>
    <col min="14851" max="14851" width="15.125" style="2" customWidth="1"/>
    <col min="14852" max="14852" width="11.625" style="2" customWidth="1"/>
    <col min="14853" max="14853" width="16.625" style="2" customWidth="1"/>
    <col min="14854" max="14854" width="8.75" style="2" customWidth="1"/>
    <col min="14855" max="14855" width="38.5" style="2" customWidth="1"/>
    <col min="14856" max="14857" width="9" style="2"/>
    <col min="14858" max="14858" width="16.625" style="2" customWidth="1"/>
    <col min="14859" max="14859" width="6.625" style="2" customWidth="1"/>
    <col min="14860" max="15104" width="9" style="2"/>
    <col min="15105" max="15105" width="11.375" style="2" customWidth="1"/>
    <col min="15106" max="15106" width="26.375" style="2" customWidth="1"/>
    <col min="15107" max="15107" width="15.125" style="2" customWidth="1"/>
    <col min="15108" max="15108" width="11.625" style="2" customWidth="1"/>
    <col min="15109" max="15109" width="16.625" style="2" customWidth="1"/>
    <col min="15110" max="15110" width="8.75" style="2" customWidth="1"/>
    <col min="15111" max="15111" width="38.5" style="2" customWidth="1"/>
    <col min="15112" max="15113" width="9" style="2"/>
    <col min="15114" max="15114" width="16.625" style="2" customWidth="1"/>
    <col min="15115" max="15115" width="6.625" style="2" customWidth="1"/>
    <col min="15116" max="15360" width="9" style="2"/>
    <col min="15361" max="15361" width="11.375" style="2" customWidth="1"/>
    <col min="15362" max="15362" width="26.375" style="2" customWidth="1"/>
    <col min="15363" max="15363" width="15.125" style="2" customWidth="1"/>
    <col min="15364" max="15364" width="11.625" style="2" customWidth="1"/>
    <col min="15365" max="15365" width="16.625" style="2" customWidth="1"/>
    <col min="15366" max="15366" width="8.75" style="2" customWidth="1"/>
    <col min="15367" max="15367" width="38.5" style="2" customWidth="1"/>
    <col min="15368" max="15369" width="9" style="2"/>
    <col min="15370" max="15370" width="16.625" style="2" customWidth="1"/>
    <col min="15371" max="15371" width="6.625" style="2" customWidth="1"/>
    <col min="15372" max="15616" width="9" style="2"/>
    <col min="15617" max="15617" width="11.375" style="2" customWidth="1"/>
    <col min="15618" max="15618" width="26.375" style="2" customWidth="1"/>
    <col min="15619" max="15619" width="15.125" style="2" customWidth="1"/>
    <col min="15620" max="15620" width="11.625" style="2" customWidth="1"/>
    <col min="15621" max="15621" width="16.625" style="2" customWidth="1"/>
    <col min="15622" max="15622" width="8.75" style="2" customWidth="1"/>
    <col min="15623" max="15623" width="38.5" style="2" customWidth="1"/>
    <col min="15624" max="15625" width="9" style="2"/>
    <col min="15626" max="15626" width="16.625" style="2" customWidth="1"/>
    <col min="15627" max="15627" width="6.625" style="2" customWidth="1"/>
    <col min="15628" max="15872" width="9" style="2"/>
    <col min="15873" max="15873" width="11.375" style="2" customWidth="1"/>
    <col min="15874" max="15874" width="26.375" style="2" customWidth="1"/>
    <col min="15875" max="15875" width="15.125" style="2" customWidth="1"/>
    <col min="15876" max="15876" width="11.625" style="2" customWidth="1"/>
    <col min="15877" max="15877" width="16.625" style="2" customWidth="1"/>
    <col min="15878" max="15878" width="8.75" style="2" customWidth="1"/>
    <col min="15879" max="15879" width="38.5" style="2" customWidth="1"/>
    <col min="15880" max="15881" width="9" style="2"/>
    <col min="15882" max="15882" width="16.625" style="2" customWidth="1"/>
    <col min="15883" max="15883" width="6.625" style="2" customWidth="1"/>
    <col min="15884" max="16128" width="9" style="2"/>
    <col min="16129" max="16129" width="11.375" style="2" customWidth="1"/>
    <col min="16130" max="16130" width="26.375" style="2" customWidth="1"/>
    <col min="16131" max="16131" width="15.125" style="2" customWidth="1"/>
    <col min="16132" max="16132" width="11.625" style="2" customWidth="1"/>
    <col min="16133" max="16133" width="16.625" style="2" customWidth="1"/>
    <col min="16134" max="16134" width="8.75" style="2" customWidth="1"/>
    <col min="16135" max="16135" width="38.5" style="2" customWidth="1"/>
    <col min="16136" max="16137" width="9" style="2"/>
    <col min="16138" max="16138" width="16.625" style="2" customWidth="1"/>
    <col min="16139" max="16139" width="6.625" style="2" customWidth="1"/>
    <col min="16140" max="16384" width="9" style="2"/>
  </cols>
  <sheetData>
    <row r="1" ht="28.8" spans="1:12">
      <c r="A1" s="3" t="s">
        <v>0</v>
      </c>
      <c r="B1" s="3"/>
      <c r="C1" s="3"/>
      <c r="D1" s="3"/>
      <c r="E1" s="3"/>
      <c r="F1" s="3"/>
    </row>
    <row r="2" ht="29.55" spans="1:12">
      <c r="C2" s="4" t="s">
        <v>1</v>
      </c>
      <c r="D2" s="5">
        <v>46213</v>
      </c>
      <c r="E2" s="6"/>
      <c r="F2" s="3"/>
      <c r="G2" s="7" t="s">
        <v>2</v>
      </c>
      <c r="H2" s="8" t="s">
        <v>3</v>
      </c>
    </row>
    <row r="3" ht="17.1" customHeight="1" spans="1:12">
      <c r="A3" s="9" t="s">
        <v>4</v>
      </c>
      <c r="B3" s="10"/>
      <c r="C3" s="11" t="s">
        <v>5</v>
      </c>
      <c r="D3" s="12"/>
      <c r="E3" s="13"/>
      <c r="F3" s="14"/>
      <c r="G3" s="15" t="s">
        <v>6</v>
      </c>
      <c r="H3" s="16" t="s">
        <v>7</v>
      </c>
      <c r="I3" s="16"/>
      <c r="J3" s="16"/>
      <c r="K3" s="17"/>
      <c r="L3" s="18" t="s">
        <v>8</v>
      </c>
    </row>
    <row r="4" ht="17.1" customHeight="1" spans="1:12">
      <c r="A4" s="19" t="s">
        <v>9</v>
      </c>
      <c r="B4" s="20" t="s">
        <v>10</v>
      </c>
      <c r="C4" s="21" t="s">
        <v>11</v>
      </c>
      <c r="D4" s="22"/>
      <c r="E4" s="23"/>
      <c r="F4" s="14"/>
      <c r="G4" s="24" t="s">
        <v>12</v>
      </c>
      <c r="H4" s="16"/>
      <c r="I4" s="16"/>
      <c r="J4" s="16"/>
      <c r="K4" s="25"/>
      <c r="L4" s="18" t="s">
        <v>13</v>
      </c>
    </row>
    <row r="5" ht="17.1" customHeight="1" spans="1:12">
      <c r="A5" s="26" t="s">
        <v>14</v>
      </c>
      <c r="B5" s="27" t="s">
        <v>15</v>
      </c>
      <c r="C5" s="21" t="s">
        <v>16</v>
      </c>
      <c r="D5" s="22"/>
      <c r="E5" s="23"/>
      <c r="F5" s="14"/>
      <c r="G5" s="15" t="s">
        <v>17</v>
      </c>
      <c r="H5" s="16" t="s">
        <v>18</v>
      </c>
      <c r="I5" s="16"/>
      <c r="J5" s="16"/>
      <c r="K5" s="18"/>
      <c r="L5" s="18"/>
    </row>
    <row r="6" ht="17.1" customHeight="1" spans="1:12">
      <c r="A6" s="28"/>
      <c r="B6" s="27" t="s">
        <v>19</v>
      </c>
      <c r="C6" s="21" t="s">
        <v>20</v>
      </c>
      <c r="D6" s="22"/>
      <c r="E6" s="23"/>
      <c r="F6" s="14"/>
      <c r="G6" s="24" t="s">
        <v>21</v>
      </c>
      <c r="H6" s="16"/>
      <c r="I6" s="16"/>
      <c r="J6" s="16"/>
      <c r="K6" s="18"/>
      <c r="L6" s="18"/>
    </row>
    <row r="7" ht="17.1" customHeight="1" spans="1:12">
      <c r="A7" s="28"/>
      <c r="B7" s="27" t="s">
        <v>22</v>
      </c>
      <c r="C7" s="21" t="s">
        <v>23</v>
      </c>
      <c r="D7" s="22"/>
      <c r="E7" s="23"/>
      <c r="F7" s="14"/>
      <c r="G7" s="24" t="s">
        <v>24</v>
      </c>
      <c r="H7" s="16"/>
      <c r="I7" s="16"/>
      <c r="J7" s="16"/>
      <c r="K7" s="18"/>
      <c r="L7" s="18"/>
    </row>
    <row r="8" ht="17.1" customHeight="1" spans="1:12">
      <c r="A8" s="28"/>
      <c r="B8" s="27" t="s">
        <v>25</v>
      </c>
      <c r="C8" s="21" t="s">
        <v>26</v>
      </c>
      <c r="D8" s="22"/>
      <c r="E8" s="23"/>
      <c r="F8" s="14"/>
      <c r="G8" s="15" t="s">
        <v>27</v>
      </c>
      <c r="H8" s="16"/>
      <c r="I8" s="16"/>
      <c r="J8" s="16"/>
      <c r="K8" s="18"/>
      <c r="L8" s="18"/>
    </row>
    <row r="9" ht="17.1" customHeight="1" spans="1:12">
      <c r="A9" s="28"/>
      <c r="B9" s="27" t="s">
        <v>28</v>
      </c>
      <c r="C9" s="29" t="s">
        <v>29</v>
      </c>
      <c r="D9" s="22" t="s">
        <v>30</v>
      </c>
      <c r="E9" s="23"/>
      <c r="F9" s="14"/>
      <c r="G9" s="15" t="s">
        <v>31</v>
      </c>
      <c r="H9" s="16"/>
      <c r="I9" s="16"/>
      <c r="J9" s="16"/>
    </row>
    <row r="10" ht="17.1" customHeight="1" spans="1:12">
      <c r="A10" s="28"/>
      <c r="B10" s="27" t="s">
        <v>32</v>
      </c>
      <c r="C10" s="30" t="s">
        <v>29</v>
      </c>
      <c r="D10" s="31" t="s">
        <v>30</v>
      </c>
      <c r="E10" s="32"/>
      <c r="F10" s="14"/>
      <c r="G10" s="15" t="s">
        <v>31</v>
      </c>
      <c r="H10" s="16"/>
      <c r="I10" s="16"/>
      <c r="J10" s="16"/>
    </row>
    <row r="11" ht="17.1" customHeight="1" spans="1:12">
      <c r="A11" s="19"/>
      <c r="B11" s="27" t="s">
        <v>33</v>
      </c>
      <c r="C11" s="21" t="s">
        <v>34</v>
      </c>
      <c r="D11" s="22"/>
      <c r="E11" s="23"/>
      <c r="F11" s="14"/>
      <c r="G11" s="15" t="s">
        <v>35</v>
      </c>
      <c r="H11" s="16"/>
      <c r="I11" s="16"/>
      <c r="J11" s="16"/>
    </row>
    <row r="12" ht="17.1" customHeight="1" spans="1:12">
      <c r="A12" s="26" t="s">
        <v>36</v>
      </c>
      <c r="B12" s="27" t="s">
        <v>37</v>
      </c>
      <c r="C12" s="21" t="s">
        <v>38</v>
      </c>
      <c r="D12" s="22"/>
      <c r="E12" s="23"/>
      <c r="F12" s="14"/>
      <c r="G12" s="15" t="s">
        <v>39</v>
      </c>
      <c r="H12" s="16"/>
      <c r="I12" s="16"/>
      <c r="J12" s="16"/>
    </row>
    <row r="13" ht="17.1" customHeight="1" spans="1:12">
      <c r="A13" s="28"/>
      <c r="B13" s="27" t="s">
        <v>40</v>
      </c>
      <c r="C13" s="33">
        <v>0.33</v>
      </c>
      <c r="D13" s="34"/>
      <c r="E13" s="35"/>
      <c r="F13" s="14"/>
      <c r="G13" s="15" t="s">
        <v>41</v>
      </c>
      <c r="H13" s="16"/>
      <c r="I13" s="16"/>
      <c r="J13" s="16"/>
    </row>
    <row r="14" ht="17.1" customHeight="1" spans="1:12">
      <c r="A14" s="28"/>
      <c r="B14" s="27" t="s">
        <v>42</v>
      </c>
      <c r="C14" s="36" t="s">
        <v>43</v>
      </c>
      <c r="D14" s="37" t="s">
        <v>44</v>
      </c>
      <c r="E14" s="23"/>
      <c r="F14" s="14"/>
      <c r="G14" s="38" t="s">
        <v>45</v>
      </c>
      <c r="H14" s="16" t="s">
        <v>46</v>
      </c>
      <c r="I14" s="16"/>
      <c r="J14" s="16"/>
    </row>
    <row r="15" ht="17.1" customHeight="1" spans="1:12">
      <c r="A15" s="28"/>
      <c r="B15" s="27" t="s">
        <v>47</v>
      </c>
      <c r="C15" s="39" t="s">
        <v>48</v>
      </c>
      <c r="D15" s="40" t="s">
        <v>49</v>
      </c>
      <c r="E15" s="41" t="s">
        <v>50</v>
      </c>
      <c r="F15" s="42"/>
      <c r="G15" s="38" t="s">
        <v>51</v>
      </c>
      <c r="H15" s="16"/>
      <c r="I15" s="16"/>
      <c r="J15" s="16"/>
    </row>
    <row r="16" ht="17.1" customHeight="1" spans="1:12">
      <c r="A16" s="28"/>
      <c r="B16" s="27" t="s">
        <v>52</v>
      </c>
      <c r="C16" s="43">
        <v>7538</v>
      </c>
      <c r="D16" s="44"/>
      <c r="E16" s="45"/>
      <c r="G16" s="15" t="s">
        <v>53</v>
      </c>
      <c r="H16" s="16"/>
      <c r="I16" s="16"/>
      <c r="J16" s="16"/>
    </row>
    <row r="17" ht="17.1" customHeight="1" spans="1:7">
      <c r="A17" s="28"/>
      <c r="B17" s="27" t="s">
        <v>54</v>
      </c>
      <c r="C17" s="46">
        <f>C16*E17</f>
        <v>7560.614</v>
      </c>
      <c r="D17" s="47"/>
      <c r="E17" s="48">
        <v>1.003</v>
      </c>
      <c r="F17" s="14"/>
      <c r="G17" s="49" t="s">
        <v>55</v>
      </c>
    </row>
    <row r="18" ht="17.1" customHeight="1" spans="1:7">
      <c r="A18" s="28"/>
      <c r="B18" s="27" t="s">
        <v>56</v>
      </c>
      <c r="C18" s="50">
        <v>0</v>
      </c>
      <c r="D18" s="51"/>
      <c r="E18" s="52"/>
      <c r="F18" s="14"/>
      <c r="G18" s="53" t="s">
        <v>57</v>
      </c>
    </row>
    <row r="19" ht="17.1" customHeight="1" spans="1:7">
      <c r="A19" s="28"/>
      <c r="B19" s="27" t="s">
        <v>58</v>
      </c>
      <c r="C19" s="54">
        <v>1</v>
      </c>
      <c r="D19" s="55"/>
      <c r="E19" s="56"/>
      <c r="F19" s="14"/>
      <c r="G19" s="15" t="s">
        <v>59</v>
      </c>
    </row>
    <row r="20" ht="30" customHeight="1" spans="1:7">
      <c r="A20" s="28"/>
      <c r="B20" s="27" t="s">
        <v>60</v>
      </c>
      <c r="C20" s="57" t="str">
        <f>IF(LEFT(C14,1)="☑","采价期间各交易日Max(标的合约收盘价,执行价格) 的算术平均价","采价期间各交易日Min(标的合约收盘价,执行价格) 的算术平均价")</f>
        <v>采价期间各交易日Min(标的合约收盘价,执行价格) 的算术平均价</v>
      </c>
      <c r="D20" s="58"/>
      <c r="E20" s="59"/>
      <c r="F20" s="14"/>
      <c r="G20" s="15" t="s">
        <v>61</v>
      </c>
    </row>
    <row r="21" ht="17.25" customHeight="1" spans="1:7">
      <c r="A21" s="28"/>
      <c r="B21" s="27" t="s">
        <v>62</v>
      </c>
      <c r="C21" s="57" t="str">
        <f>IF(LEFT(C14,1)="☑","Max(结算价格-执行价格，0)*承保数量","Max(执行价格-结算价格，0)*承保数量")</f>
        <v>Max(执行价格-结算价格，0)*承保数量</v>
      </c>
      <c r="D21" s="58"/>
      <c r="E21" s="59"/>
      <c r="F21" s="14"/>
      <c r="G21" s="15" t="s">
        <v>63</v>
      </c>
    </row>
    <row r="22" ht="17.1" customHeight="1" spans="1:7">
      <c r="A22" s="28"/>
      <c r="B22" s="27" t="s">
        <v>64</v>
      </c>
      <c r="C22" s="60">
        <f>C27*C30</f>
        <v>471.36</v>
      </c>
      <c r="D22" s="61">
        <f>D27*C30</f>
        <v>0.0384</v>
      </c>
      <c r="E22" s="62"/>
      <c r="F22" s="14"/>
      <c r="G22" s="53" t="s">
        <v>65</v>
      </c>
    </row>
    <row r="23" ht="17.1" customHeight="1" spans="1:7">
      <c r="A23" s="28"/>
      <c r="B23" s="27" t="s">
        <v>66</v>
      </c>
      <c r="C23" s="63">
        <f>C27*10000/(D27*C17)</f>
        <v>16235.4538930304</v>
      </c>
      <c r="D23" s="64"/>
      <c r="E23" s="65"/>
      <c r="F23" s="14"/>
      <c r="G23" s="53" t="s">
        <v>67</v>
      </c>
    </row>
    <row r="24" ht="17.1" customHeight="1" spans="1:7">
      <c r="A24" s="28"/>
      <c r="B24" s="27" t="s">
        <v>68</v>
      </c>
      <c r="C24" s="66">
        <f>(D22-D27*C18)/D22</f>
        <v>1</v>
      </c>
      <c r="D24" s="67"/>
      <c r="E24" s="68"/>
      <c r="F24" s="14"/>
      <c r="G24" s="53" t="s">
        <v>69</v>
      </c>
    </row>
    <row r="25" ht="17.1" customHeight="1" spans="1:7">
      <c r="A25" s="28"/>
      <c r="B25" s="27" t="s">
        <v>70</v>
      </c>
      <c r="C25" s="66">
        <f>(IF(IF(LEFT(C14,1)="☑",1,0)=1,(C17+D27*C17*0)/C16-1,1-(C17-D27*C17*0)/C16))*-1</f>
        <v>0.00299999999999989</v>
      </c>
      <c r="D25" s="67"/>
      <c r="E25" s="68"/>
      <c r="F25" s="14"/>
      <c r="G25" s="53" t="s">
        <v>71</v>
      </c>
    </row>
    <row r="26" ht="17.1" customHeight="1" spans="1:7">
      <c r="A26" s="19"/>
      <c r="B26" s="27" t="s">
        <v>72</v>
      </c>
      <c r="C26" s="69">
        <v>30.5</v>
      </c>
      <c r="D26" s="70"/>
      <c r="E26" s="71"/>
      <c r="F26" s="42"/>
      <c r="G26" s="15" t="s">
        <v>73</v>
      </c>
    </row>
    <row r="27" ht="17.1" customHeight="1" spans="1:7">
      <c r="A27" s="26" t="s">
        <v>74</v>
      </c>
      <c r="B27" s="27" t="s">
        <v>75</v>
      </c>
      <c r="C27" s="72">
        <v>982</v>
      </c>
      <c r="D27" s="73">
        <v>0.08</v>
      </c>
      <c r="E27" s="74"/>
      <c r="F27" s="14"/>
      <c r="G27" s="24" t="s">
        <v>76</v>
      </c>
    </row>
    <row r="28" ht="17.1" customHeight="1" spans="1:7">
      <c r="A28" s="28"/>
      <c r="B28" s="27" t="s">
        <v>77</v>
      </c>
      <c r="C28" s="75">
        <f>C27/D27</f>
        <v>12275</v>
      </c>
      <c r="D28" s="76"/>
      <c r="E28" s="77"/>
      <c r="F28" s="14"/>
      <c r="G28" s="53" t="s">
        <v>78</v>
      </c>
    </row>
    <row r="29" ht="17.1" customHeight="1" spans="1:7">
      <c r="A29" s="28"/>
      <c r="B29" s="27" t="s">
        <v>79</v>
      </c>
      <c r="C29" s="21" t="s">
        <v>80</v>
      </c>
      <c r="D29" s="22"/>
      <c r="E29" s="23"/>
      <c r="F29" s="14"/>
      <c r="G29" s="15" t="s">
        <v>81</v>
      </c>
    </row>
    <row r="30" ht="17.1" customHeight="1" spans="1:7">
      <c r="A30" s="28"/>
      <c r="B30" s="27" t="s">
        <v>82</v>
      </c>
      <c r="C30" s="78">
        <v>0.48</v>
      </c>
      <c r="D30" s="79"/>
      <c r="E30" s="80"/>
      <c r="F30" s="14"/>
      <c r="G30" s="15" t="s">
        <v>83</v>
      </c>
    </row>
    <row r="31" ht="17.1" customHeight="1" spans="1:7">
      <c r="A31" s="19"/>
      <c r="B31" s="27" t="s">
        <v>84</v>
      </c>
      <c r="C31" s="21" t="s">
        <v>85</v>
      </c>
      <c r="D31" s="22"/>
      <c r="E31" s="23"/>
      <c r="F31" s="14"/>
      <c r="G31" s="15" t="s">
        <v>86</v>
      </c>
    </row>
    <row r="32" ht="17.1" customHeight="1" spans="1:7">
      <c r="A32" s="19" t="s">
        <v>87</v>
      </c>
      <c r="B32" s="27" t="s">
        <v>88</v>
      </c>
      <c r="C32" s="60">
        <f>C27*D32</f>
        <v>294.6</v>
      </c>
      <c r="D32" s="73">
        <v>0.3</v>
      </c>
      <c r="E32" s="74"/>
      <c r="F32" s="14"/>
      <c r="G32" s="53" t="s">
        <v>89</v>
      </c>
    </row>
    <row r="33" ht="46.5" customHeight="1" spans="1:7">
      <c r="A33" s="19" t="s">
        <v>90</v>
      </c>
      <c r="B33" s="81" t="s">
        <v>91</v>
      </c>
      <c r="C33" s="82"/>
      <c r="D33" s="82"/>
      <c r="E33" s="83"/>
      <c r="F33" s="84"/>
      <c r="G33" s="15" t="s">
        <v>92</v>
      </c>
    </row>
    <row r="34" ht="63.75" customHeight="1"/>
  </sheetData>
  <mergeCells count="39">
    <mergeCell ref="A1:E1"/>
    <mergeCell ref="D2:E2"/>
    <mergeCell ref="A3:B3"/>
    <mergeCell ref="C3:E3"/>
    <mergeCell ref="C4:E4"/>
    <mergeCell ref="C5:E5"/>
    <mergeCell ref="C6:E6"/>
    <mergeCell ref="C7:E7"/>
    <mergeCell ref="C8:E8"/>
    <mergeCell ref="D9:E9"/>
    <mergeCell ref="D10:E10"/>
    <mergeCell ref="C11:E11"/>
    <mergeCell ref="C12:E12"/>
    <mergeCell ref="C13:E13"/>
    <mergeCell ref="D14:E14"/>
    <mergeCell ref="C16:E16"/>
    <mergeCell ref="C17:D17"/>
    <mergeCell ref="C18:E18"/>
    <mergeCell ref="C19:E19"/>
    <mergeCell ref="C20:E20"/>
    <mergeCell ref="C21:E21"/>
    <mergeCell ref="D22:E22"/>
    <mergeCell ref="C23:E23"/>
    <mergeCell ref="C24:E24"/>
    <mergeCell ref="C25:E25"/>
    <mergeCell ref="C26:E26"/>
    <mergeCell ref="D27:E27"/>
    <mergeCell ref="C28:E28"/>
    <mergeCell ref="C29:E29"/>
    <mergeCell ref="C30:E30"/>
    <mergeCell ref="C31:E31"/>
    <mergeCell ref="D32:E32"/>
    <mergeCell ref="B33:E33"/>
    <mergeCell ref="A5:A11"/>
    <mergeCell ref="A12:A26"/>
    <mergeCell ref="A27:A31"/>
    <mergeCell ref="H3:J4"/>
    <mergeCell ref="H5:J13"/>
    <mergeCell ref="H14:J16"/>
  </mergeCells>
  <conditionalFormatting sqref="D2:E2">
    <cfRule type="cellIs" dxfId="0" priority="15" stopIfTrue="1" operator="equal">
      <formula>""</formula>
    </cfRule>
  </conditionalFormatting>
  <conditionalFormatting sqref="C3:E3">
    <cfRule type="cellIs" dxfId="1" priority="19" operator="equal">
      <formula>""</formula>
    </cfRule>
  </conditionalFormatting>
  <conditionalFormatting sqref="C5:E5">
    <cfRule type="cellIs" dxfId="1" priority="17" stopIfTrue="1" operator="equal">
      <formula>""</formula>
    </cfRule>
  </conditionalFormatting>
  <conditionalFormatting sqref="C18">
    <cfRule type="cellIs" dxfId="1" priority="2" stopIfTrue="1" operator="equal">
      <formula>""</formula>
    </cfRule>
    <cfRule type="expression" dxfId="1" priority="3" stopIfTrue="1">
      <formula>“”</formula>
    </cfRule>
  </conditionalFormatting>
  <conditionalFormatting sqref="C22:D22">
    <cfRule type="cellIs" dxfId="2" priority="6" stopIfTrue="1" operator="equal">
      <formula>""</formula>
    </cfRule>
  </conditionalFormatting>
  <conditionalFormatting sqref="D22">
    <cfRule type="cellIs" dxfId="1" priority="7" stopIfTrue="1" operator="equal">
      <formula>""</formula>
    </cfRule>
    <cfRule type="expression" dxfId="1" priority="8" stopIfTrue="1">
      <formula>“”</formula>
    </cfRule>
  </conditionalFormatting>
  <conditionalFormatting sqref="D27">
    <cfRule type="cellIs" dxfId="1" priority="11" stopIfTrue="1" operator="equal">
      <formula>""</formula>
    </cfRule>
    <cfRule type="expression" dxfId="1" priority="12" stopIfTrue="1">
      <formula>“”</formula>
    </cfRule>
  </conditionalFormatting>
  <conditionalFormatting sqref="C29">
    <cfRule type="cellIs" dxfId="1" priority="9" stopIfTrue="1" operator="equal">
      <formula>""</formula>
    </cfRule>
  </conditionalFormatting>
  <conditionalFormatting sqref="D32">
    <cfRule type="cellIs" dxfId="1" priority="14" stopIfTrue="1" operator="equal">
      <formula>""</formula>
    </cfRule>
  </conditionalFormatting>
  <conditionalFormatting sqref="C3:C8">
    <cfRule type="cellIs" dxfId="1" priority="4" stopIfTrue="1" operator="equal">
      <formula>""</formula>
    </cfRule>
  </conditionalFormatting>
  <conditionalFormatting sqref="C17:C19">
    <cfRule type="cellIs" dxfId="2" priority="1" stopIfTrue="1" operator="equal">
      <formula>""</formula>
    </cfRule>
  </conditionalFormatting>
  <conditionalFormatting sqref="C3:E5 C11:E11 C20:E21 C31:E31 B33:F33 D2:E2 D32 C29:E29">
    <cfRule type="expression" dxfId="1" priority="20" stopIfTrue="1">
      <formula>“”</formula>
    </cfRule>
  </conditionalFormatting>
  <conditionalFormatting sqref="C6:E8">
    <cfRule type="expression" dxfId="1" priority="5" stopIfTrue="1">
      <formula>“”</formula>
    </cfRule>
  </conditionalFormatting>
  <conditionalFormatting sqref="C11:C12 C20:C21 C31 B33">
    <cfRule type="cellIs" dxfId="1" priority="18" stopIfTrue="1" operator="equal">
      <formula>""</formula>
    </cfRule>
  </conditionalFormatting>
  <conditionalFormatting sqref="C13:E13 C16:E16 E17 C26:E26 C30:E30">
    <cfRule type="cellIs" dxfId="2" priority="16" stopIfTrue="1" operator="equal">
      <formula>""</formula>
    </cfRule>
  </conditionalFormatting>
  <conditionalFormatting sqref="C27:D27 C32:D32">
    <cfRule type="cellIs" dxfId="2" priority="10" stopIfTrue="1" operator="equal">
      <formula>""</formula>
    </cfRule>
  </conditionalFormatting>
  <dataValidations count="11">
    <dataValidation type="decimal" operator="between" allowBlank="1" showInputMessage="1" showErrorMessage="1" sqref="C13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18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24 IY25 SU25 ACQ25 AMM25 AWI25 BGE25 BQA25 BZW25 CJS25 CTO25 DDK25 DNG25 DXC25 EGY25 EQU25 FAQ25 FKM25 FUI25 GEE25 GOA25 GXW25 HHS25 HRO25 IBK25 ILG25 IVC25 JEY25 JOU25 JYQ25 KIM25 KSI25 LCE25 LMA25 LVW25 MFS25 MPO25 MZK25 NJG25 NTC25 OCY25 OMU25 OWQ25 PGM25 PQI25 QAE25 QKA25 QTW25 RDS25 RNO25 RXK25 SHG25 SRC25 TAY25 TKU25 TUQ25 UEM25 UOI25 UYE25 VIA25 VRW25 WBS25 WLO25 WVK25 C65550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65555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65558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65560 IY65561 SU65561 ACQ65561 AMM65561 AWI65561 BGE65561 BQA65561 BZW65561 CJS65561 CTO65561 DDK65561 DNG65561 DXC65561 EGY65561 EQU65561 FAQ65561 FKM65561 FUI65561 GEE65561 GOA65561 GXW65561 HHS65561 HRO65561 IBK65561 ILG65561 IVC65561 JEY65561 JOU65561 JYQ65561 KIM65561 KSI65561 LCE65561 LMA65561 LVW65561 MFS65561 MPO65561 MZK65561 NJG65561 NTC65561 OCY65561 OMU65561 OWQ65561 PGM65561 PQI65561 QAE65561 QKA65561 QTW65561 RDS65561 RNO65561 RXK65561 SHG65561 SRC65561 TAY65561 TKU65561 TUQ65561 UEM65561 UOI65561 UYE65561 VIA65561 VRW65561 WBS65561 WLO65561 WVK65561 C131086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31091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31094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31096 IY131097 SU131097 ACQ131097 AMM131097 AWI131097 BGE131097 BQA131097 BZW131097 CJS131097 CTO131097 DDK131097 DNG131097 DXC131097 EGY131097 EQU131097 FAQ131097 FKM131097 FUI131097 GEE131097 GOA131097 GXW131097 HHS131097 HRO131097 IBK131097 ILG131097 IVC131097 JEY131097 JOU131097 JYQ131097 KIM131097 KSI131097 LCE131097 LMA131097 LVW131097 MFS131097 MPO131097 MZK131097 NJG131097 NTC131097 OCY131097 OMU131097 OWQ131097 PGM131097 PQI131097 QAE131097 QKA131097 QTW131097 RDS131097 RNO131097 RXK131097 SHG131097 SRC131097 TAY131097 TKU131097 TUQ131097 UEM131097 UOI131097 UYE131097 VIA131097 VRW131097 WBS131097 WLO131097 WVK131097 C196622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196627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196630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196632 IY196633 SU196633 ACQ196633 AMM196633 AWI196633 BGE196633 BQA196633 BZW196633 CJS196633 CTO196633 DDK196633 DNG196633 DXC196633 EGY196633 EQU196633 FAQ196633 FKM196633 FUI196633 GEE196633 GOA196633 GXW196633 HHS196633 HRO196633 IBK196633 ILG196633 IVC196633 JEY196633 JOU196633 JYQ196633 KIM196633 KSI196633 LCE196633 LMA196633 LVW196633 MFS196633 MPO196633 MZK196633 NJG196633 NTC196633 OCY196633 OMU196633 OWQ196633 PGM196633 PQI196633 QAE196633 QKA196633 QTW196633 RDS196633 RNO196633 RXK196633 SHG196633 SRC196633 TAY196633 TKU196633 TUQ196633 UEM196633 UOI196633 UYE196633 VIA196633 VRW196633 WBS196633 WLO196633 WVK196633 C262158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262163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262166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262168 IY262169 SU262169 ACQ262169 AMM262169 AWI262169 BGE262169 BQA262169 BZW262169 CJS262169 CTO262169 DDK262169 DNG262169 DXC262169 EGY262169 EQU262169 FAQ262169 FKM262169 FUI262169 GEE262169 GOA262169 GXW262169 HHS262169 HRO262169 IBK262169 ILG262169 IVC262169 JEY262169 JOU262169 JYQ262169 KIM262169 KSI262169 LCE262169 LMA262169 LVW262169 MFS262169 MPO262169 MZK262169 NJG262169 NTC262169 OCY262169 OMU262169 OWQ262169 PGM262169 PQI262169 QAE262169 QKA262169 QTW262169 RDS262169 RNO262169 RXK262169 SHG262169 SRC262169 TAY262169 TKU262169 TUQ262169 UEM262169 UOI262169 UYE262169 VIA262169 VRW262169 WBS262169 WLO262169 WVK262169 C327694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27699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27702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27704 IY327705 SU327705 ACQ327705 AMM327705 AWI327705 BGE327705 BQA327705 BZW327705 CJS327705 CTO327705 DDK327705 DNG327705 DXC327705 EGY327705 EQU327705 FAQ327705 FKM327705 FUI327705 GEE327705 GOA327705 GXW327705 HHS327705 HRO327705 IBK327705 ILG327705 IVC327705 JEY327705 JOU327705 JYQ327705 KIM327705 KSI327705 LCE327705 LMA327705 LVW327705 MFS327705 MPO327705 MZK327705 NJG327705 NTC327705 OCY327705 OMU327705 OWQ327705 PGM327705 PQI327705 QAE327705 QKA327705 QTW327705 RDS327705 RNO327705 RXK327705 SHG327705 SRC327705 TAY327705 TKU327705 TUQ327705 UEM327705 UOI327705 UYE327705 VIA327705 VRW327705 WBS327705 WLO327705 WVK327705 C393230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393235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393238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393240 IY393241 SU393241 ACQ393241 AMM393241 AWI393241 BGE393241 BQA393241 BZW393241 CJS393241 CTO393241 DDK393241 DNG393241 DXC393241 EGY393241 EQU393241 FAQ393241 FKM393241 FUI393241 GEE393241 GOA393241 GXW393241 HHS393241 HRO393241 IBK393241 ILG393241 IVC393241 JEY393241 JOU393241 JYQ393241 KIM393241 KSI393241 LCE393241 LMA393241 LVW393241 MFS393241 MPO393241 MZK393241 NJG393241 NTC393241 OCY393241 OMU393241 OWQ393241 PGM393241 PQI393241 QAE393241 QKA393241 QTW393241 RDS393241 RNO393241 RXK393241 SHG393241 SRC393241 TAY393241 TKU393241 TUQ393241 UEM393241 UOI393241 UYE393241 VIA393241 VRW393241 WBS393241 WLO393241 WVK393241 C458766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458771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458774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458776 IY458777 SU458777 ACQ458777 AMM458777 AWI458777 BGE458777 BQA458777 BZW458777 CJS458777 CTO458777 DDK458777 DNG458777 DXC458777 EGY458777 EQU458777 FAQ458777 FKM458777 FUI458777 GEE458777 GOA458777 GXW458777 HHS458777 HRO458777 IBK458777 ILG458777 IVC458777 JEY458777 JOU458777 JYQ458777 KIM458777 KSI458777 LCE458777 LMA458777 LVW458777 MFS458777 MPO458777 MZK458777 NJG458777 NTC458777 OCY458777 OMU458777 OWQ458777 PGM458777 PQI458777 QAE458777 QKA458777 QTW458777 RDS458777 RNO458777 RXK458777 SHG458777 SRC458777 TAY458777 TKU458777 TUQ458777 UEM458777 UOI458777 UYE458777 VIA458777 VRW458777 WBS458777 WLO458777 WVK458777 C524302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24307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24310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24312 IY524313 SU524313 ACQ524313 AMM524313 AWI524313 BGE524313 BQA524313 BZW524313 CJS524313 CTO524313 DDK524313 DNG524313 DXC524313 EGY524313 EQU524313 FAQ524313 FKM524313 FUI524313 GEE524313 GOA524313 GXW524313 HHS524313 HRO524313 IBK524313 ILG524313 IVC524313 JEY524313 JOU524313 JYQ524313 KIM524313 KSI524313 LCE524313 LMA524313 LVW524313 MFS524313 MPO524313 MZK524313 NJG524313 NTC524313 OCY524313 OMU524313 OWQ524313 PGM524313 PQI524313 QAE524313 QKA524313 QTW524313 RDS524313 RNO524313 RXK524313 SHG524313 SRC524313 TAY524313 TKU524313 TUQ524313 UEM524313 UOI524313 UYE524313 VIA524313 VRW524313 WBS524313 WLO524313 WVK524313 C589838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589843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589846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589848 IY589849 SU589849 ACQ589849 AMM589849 AWI589849 BGE589849 BQA589849 BZW589849 CJS589849 CTO589849 DDK589849 DNG589849 DXC589849 EGY589849 EQU589849 FAQ589849 FKM589849 FUI589849 GEE589849 GOA589849 GXW589849 HHS589849 HRO589849 IBK589849 ILG589849 IVC589849 JEY589849 JOU589849 JYQ589849 KIM589849 KSI589849 LCE589849 LMA589849 LVW589849 MFS589849 MPO589849 MZK589849 NJG589849 NTC589849 OCY589849 OMU589849 OWQ589849 PGM589849 PQI589849 QAE589849 QKA589849 QTW589849 RDS589849 RNO589849 RXK589849 SHG589849 SRC589849 TAY589849 TKU589849 TUQ589849 UEM589849 UOI589849 UYE589849 VIA589849 VRW589849 WBS589849 WLO589849 WVK589849 C655374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655379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655382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655384 IY655385 SU655385 ACQ655385 AMM655385 AWI655385 BGE655385 BQA655385 BZW655385 CJS655385 CTO655385 DDK655385 DNG655385 DXC655385 EGY655385 EQU655385 FAQ655385 FKM655385 FUI655385 GEE655385 GOA655385 GXW655385 HHS655385 HRO655385 IBK655385 ILG655385 IVC655385 JEY655385 JOU655385 JYQ655385 KIM655385 KSI655385 LCE655385 LMA655385 LVW655385 MFS655385 MPO655385 MZK655385 NJG655385 NTC655385 OCY655385 OMU655385 OWQ655385 PGM655385 PQI655385 QAE655385 QKA655385 QTW655385 RDS655385 RNO655385 RXK655385 SHG655385 SRC655385 TAY655385 TKU655385 TUQ655385 UEM655385 UOI655385 UYE655385 VIA655385 VRW655385 WBS655385 WLO655385 WVK655385 C720910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20915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20918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20920 IY720921 SU720921 ACQ720921 AMM720921 AWI720921 BGE720921 BQA720921 BZW720921 CJS720921 CTO720921 DDK720921 DNG720921 DXC720921 EGY720921 EQU720921 FAQ720921 FKM720921 FUI720921 GEE720921 GOA720921 GXW720921 HHS720921 HRO720921 IBK720921 ILG720921 IVC720921 JEY720921 JOU720921 JYQ720921 KIM720921 KSI720921 LCE720921 LMA720921 LVW720921 MFS720921 MPO720921 MZK720921 NJG720921 NTC720921 OCY720921 OMU720921 OWQ720921 PGM720921 PQI720921 QAE720921 QKA720921 QTW720921 RDS720921 RNO720921 RXK720921 SHG720921 SRC720921 TAY720921 TKU720921 TUQ720921 UEM720921 UOI720921 UYE720921 VIA720921 VRW720921 WBS720921 WLO720921 WVK720921 C786446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786451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786454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786456 IY786457 SU786457 ACQ786457 AMM786457 AWI786457 BGE786457 BQA786457 BZW786457 CJS786457 CTO786457 DDK786457 DNG786457 DXC786457 EGY786457 EQU786457 FAQ786457 FKM786457 FUI786457 GEE786457 GOA786457 GXW786457 HHS786457 HRO786457 IBK786457 ILG786457 IVC786457 JEY786457 JOU786457 JYQ786457 KIM786457 KSI786457 LCE786457 LMA786457 LVW786457 MFS786457 MPO786457 MZK786457 NJG786457 NTC786457 OCY786457 OMU786457 OWQ786457 PGM786457 PQI786457 QAE786457 QKA786457 QTW786457 RDS786457 RNO786457 RXK786457 SHG786457 SRC786457 TAY786457 TKU786457 TUQ786457 UEM786457 UOI786457 UYE786457 VIA786457 VRW786457 WBS786457 WLO786457 WVK786457 C851982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851987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851990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851992 IY851993 SU851993 ACQ851993 AMM851993 AWI851993 BGE851993 BQA851993 BZW851993 CJS851993 CTO851993 DDK851993 DNG851993 DXC851993 EGY851993 EQU851993 FAQ851993 FKM851993 FUI851993 GEE851993 GOA851993 GXW851993 HHS851993 HRO851993 IBK851993 ILG851993 IVC851993 JEY851993 JOU851993 JYQ851993 KIM851993 KSI851993 LCE851993 LMA851993 LVW851993 MFS851993 MPO851993 MZK851993 NJG851993 NTC851993 OCY851993 OMU851993 OWQ851993 PGM851993 PQI851993 QAE851993 QKA851993 QTW851993 RDS851993 RNO851993 RXK851993 SHG851993 SRC851993 TAY851993 TKU851993 TUQ851993 UEM851993 UOI851993 UYE851993 VIA851993 VRW851993 WBS851993 WLO851993 WVK851993 C917518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17523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17526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17528 IY917529 SU917529 ACQ917529 AMM917529 AWI917529 BGE917529 BQA917529 BZW917529 CJS917529 CTO917529 DDK917529 DNG917529 DXC917529 EGY917529 EQU917529 FAQ917529 FKM917529 FUI917529 GEE917529 GOA917529 GXW917529 HHS917529 HRO917529 IBK917529 ILG917529 IVC917529 JEY917529 JOU917529 JYQ917529 KIM917529 KSI917529 LCE917529 LMA917529 LVW917529 MFS917529 MPO917529 MZK917529 NJG917529 NTC917529 OCY917529 OMU917529 OWQ917529 PGM917529 PQI917529 QAE917529 QKA917529 QTW917529 RDS917529 RNO917529 RXK917529 SHG917529 SRC917529 TAY917529 TKU917529 TUQ917529 UEM917529 UOI917529 UYE917529 VIA917529 VRW917529 WBS917529 WLO917529 WVK917529 C983054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WVK983055 C983059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C983062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WVK983063 C983064 IY983065 SU983065 ACQ983065 AMM983065 AWI983065 BGE983065 BQA983065 BZW983065 CJS983065 CTO983065 DDK983065 DNG983065 DXC983065 EGY983065 EQU983065 FAQ983065 FKM983065 FUI983065 GEE983065 GOA983065 GXW983065 HHS983065 HRO983065 IBK983065 ILG983065 IVC983065 JEY983065 JOU983065 JYQ983065 KIM983065 KSI983065 LCE983065 LMA983065 LVW983065 MFS983065 MPO983065 MZK983065 NJG983065 NTC983065 OCY983065 OMU983065 OWQ983065 PGM983065 PQI983065 QAE983065 QKA983065 QTW983065 RDS983065 RNO983065 RXK983065 SHG983065 SRC983065 TAY983065 TKU983065 TUQ983065 UEM983065 UOI983065 UYE983065 VIA983065 VRW983065 WBS983065 WLO983065 WVK983065">
      <formula1>0</formula1>
      <formula2>1</formula2>
    </dataValidation>
    <dataValidation type="list" allowBlank="1" showInputMessage="1" showErrorMessage="1" sqref="C14">
      <formula1>标签!$B$3:$B$4</formula1>
    </dataValidation>
    <dataValidation type="list" allowBlank="1" showInputMessage="1" showErrorMessage="1" sqref="D14:E14">
      <formula1>标签!$C$3:$C$4</formula1>
    </dataValidation>
    <dataValidation type="list" allowBlank="1" showInputMessage="1" showErrorMessage="1" sqref="C15">
      <formula1>标签!$B$5:$B$6</formula1>
    </dataValidation>
    <dataValidation type="list" allowBlank="1" showInputMessage="1" showErrorMessage="1" sqref="D15">
      <formula1>标签!$C$5:$C$6</formula1>
    </dataValidation>
    <dataValidation type="list" allowBlank="1" showInputMessage="1" showErrorMessage="1" sqref="E15">
      <formula1>标签!$B$7:$B$10</formula1>
    </dataValidation>
    <dataValidation type="decimal" operator="between" allowBlank="1" showInputMessage="1" showErrorMessage="1" sqref="C22">
      <formula1>0</formula1>
      <formula2>1000000</formula2>
    </dataValidation>
    <dataValidation type="decimal" operator="between" allowBlank="1" showInputMessage="1" showErrorMessage="1" sqref="C23 IY24 SU24 ACQ24 AMM24 AWI24 BGE24 BQA24 BZW24 CJS24 CTO24 DDK24 DNG24 DXC24 EGY24 EQU24 FAQ24 FKM24 FUI24 GEE24 GOA24 GXW24 HHS24 HRO24 IBK24 ILG24 IVC24 JEY24 JOU24 JYQ24 KIM24 KSI24 LCE24 LMA24 LVW24 MFS24 MPO24 MZK24 NJG24 NTC24 OCY24 OMU24 OWQ24 PGM24 PQI24 QAE24 QKA24 QTW24 RDS24 RNO24 RXK24 SHG24 SRC24 TAY24 TKU24 TUQ24 UEM24 UOI24 UYE24 VIA24 VRW24 WBS24 WLO24 WVK24 C65559 IY65560 SU65560 ACQ65560 AMM65560 AWI65560 BGE65560 BQA65560 BZW65560 CJS65560 CTO65560 DDK65560 DNG65560 DXC65560 EGY65560 EQU65560 FAQ65560 FKM65560 FUI65560 GEE65560 GOA65560 GXW65560 HHS65560 HRO65560 IBK65560 ILG65560 IVC65560 JEY65560 JOU65560 JYQ65560 KIM65560 KSI65560 LCE65560 LMA65560 LVW65560 MFS65560 MPO65560 MZK65560 NJG65560 NTC65560 OCY65560 OMU65560 OWQ65560 PGM65560 PQI65560 QAE65560 QKA65560 QTW65560 RDS65560 RNO65560 RXK65560 SHG65560 SRC65560 TAY65560 TKU65560 TUQ65560 UEM65560 UOI65560 UYE65560 VIA65560 VRW65560 WBS65560 WLO65560 WVK65560 C131095 IY131096 SU131096 ACQ131096 AMM131096 AWI131096 BGE131096 BQA131096 BZW131096 CJS131096 CTO131096 DDK131096 DNG131096 DXC131096 EGY131096 EQU131096 FAQ131096 FKM131096 FUI131096 GEE131096 GOA131096 GXW131096 HHS131096 HRO131096 IBK131096 ILG131096 IVC131096 JEY131096 JOU131096 JYQ131096 KIM131096 KSI131096 LCE131096 LMA131096 LVW131096 MFS131096 MPO131096 MZK131096 NJG131096 NTC131096 OCY131096 OMU131096 OWQ131096 PGM131096 PQI131096 QAE131096 QKA131096 QTW131096 RDS131096 RNO131096 RXK131096 SHG131096 SRC131096 TAY131096 TKU131096 TUQ131096 UEM131096 UOI131096 UYE131096 VIA131096 VRW131096 WBS131096 WLO131096 WVK131096 C196631 IY196632 SU196632 ACQ196632 AMM196632 AWI196632 BGE196632 BQA196632 BZW196632 CJS196632 CTO196632 DDK196632 DNG196632 DXC196632 EGY196632 EQU196632 FAQ196632 FKM196632 FUI196632 GEE196632 GOA196632 GXW196632 HHS196632 HRO196632 IBK196632 ILG196632 IVC196632 JEY196632 JOU196632 JYQ196632 KIM196632 KSI196632 LCE196632 LMA196632 LVW196632 MFS196632 MPO196632 MZK196632 NJG196632 NTC196632 OCY196632 OMU196632 OWQ196632 PGM196632 PQI196632 QAE196632 QKA196632 QTW196632 RDS196632 RNO196632 RXK196632 SHG196632 SRC196632 TAY196632 TKU196632 TUQ196632 UEM196632 UOI196632 UYE196632 VIA196632 VRW196632 WBS196632 WLO196632 WVK196632 C262167 IY262168 SU262168 ACQ262168 AMM262168 AWI262168 BGE262168 BQA262168 BZW262168 CJS262168 CTO262168 DDK262168 DNG262168 DXC262168 EGY262168 EQU262168 FAQ262168 FKM262168 FUI262168 GEE262168 GOA262168 GXW262168 HHS262168 HRO262168 IBK262168 ILG262168 IVC262168 JEY262168 JOU262168 JYQ262168 KIM262168 KSI262168 LCE262168 LMA262168 LVW262168 MFS262168 MPO262168 MZK262168 NJG262168 NTC262168 OCY262168 OMU262168 OWQ262168 PGM262168 PQI262168 QAE262168 QKA262168 QTW262168 RDS262168 RNO262168 RXK262168 SHG262168 SRC262168 TAY262168 TKU262168 TUQ262168 UEM262168 UOI262168 UYE262168 VIA262168 VRW262168 WBS262168 WLO262168 WVK262168 C327703 IY327704 SU327704 ACQ327704 AMM327704 AWI327704 BGE327704 BQA327704 BZW327704 CJS327704 CTO327704 DDK327704 DNG327704 DXC327704 EGY327704 EQU327704 FAQ327704 FKM327704 FUI327704 GEE327704 GOA327704 GXW327704 HHS327704 HRO327704 IBK327704 ILG327704 IVC327704 JEY327704 JOU327704 JYQ327704 KIM327704 KSI327704 LCE327704 LMA327704 LVW327704 MFS327704 MPO327704 MZK327704 NJG327704 NTC327704 OCY327704 OMU327704 OWQ327704 PGM327704 PQI327704 QAE327704 QKA327704 QTW327704 RDS327704 RNO327704 RXK327704 SHG327704 SRC327704 TAY327704 TKU327704 TUQ327704 UEM327704 UOI327704 UYE327704 VIA327704 VRW327704 WBS327704 WLO327704 WVK327704 C393239 IY393240 SU393240 ACQ393240 AMM393240 AWI393240 BGE393240 BQA393240 BZW393240 CJS393240 CTO393240 DDK393240 DNG393240 DXC393240 EGY393240 EQU393240 FAQ393240 FKM393240 FUI393240 GEE393240 GOA393240 GXW393240 HHS393240 HRO393240 IBK393240 ILG393240 IVC393240 JEY393240 JOU393240 JYQ393240 KIM393240 KSI393240 LCE393240 LMA393240 LVW393240 MFS393240 MPO393240 MZK393240 NJG393240 NTC393240 OCY393240 OMU393240 OWQ393240 PGM393240 PQI393240 QAE393240 QKA393240 QTW393240 RDS393240 RNO393240 RXK393240 SHG393240 SRC393240 TAY393240 TKU393240 TUQ393240 UEM393240 UOI393240 UYE393240 VIA393240 VRW393240 WBS393240 WLO393240 WVK393240 C458775 IY458776 SU458776 ACQ458776 AMM458776 AWI458776 BGE458776 BQA458776 BZW458776 CJS458776 CTO458776 DDK458776 DNG458776 DXC458776 EGY458776 EQU458776 FAQ458776 FKM458776 FUI458776 GEE458776 GOA458776 GXW458776 HHS458776 HRO458776 IBK458776 ILG458776 IVC458776 JEY458776 JOU458776 JYQ458776 KIM458776 KSI458776 LCE458776 LMA458776 LVW458776 MFS458776 MPO458776 MZK458776 NJG458776 NTC458776 OCY458776 OMU458776 OWQ458776 PGM458776 PQI458776 QAE458776 QKA458776 QTW458776 RDS458776 RNO458776 RXK458776 SHG458776 SRC458776 TAY458776 TKU458776 TUQ458776 UEM458776 UOI458776 UYE458776 VIA458776 VRW458776 WBS458776 WLO458776 WVK458776 C524311 IY524312 SU524312 ACQ524312 AMM524312 AWI524312 BGE524312 BQA524312 BZW524312 CJS524312 CTO524312 DDK524312 DNG524312 DXC524312 EGY524312 EQU524312 FAQ524312 FKM524312 FUI524312 GEE524312 GOA524312 GXW524312 HHS524312 HRO524312 IBK524312 ILG524312 IVC524312 JEY524312 JOU524312 JYQ524312 KIM524312 KSI524312 LCE524312 LMA524312 LVW524312 MFS524312 MPO524312 MZK524312 NJG524312 NTC524312 OCY524312 OMU524312 OWQ524312 PGM524312 PQI524312 QAE524312 QKA524312 QTW524312 RDS524312 RNO524312 RXK524312 SHG524312 SRC524312 TAY524312 TKU524312 TUQ524312 UEM524312 UOI524312 UYE524312 VIA524312 VRW524312 WBS524312 WLO524312 WVK524312 C589847 IY589848 SU589848 ACQ589848 AMM589848 AWI589848 BGE589848 BQA589848 BZW589848 CJS589848 CTO589848 DDK589848 DNG589848 DXC589848 EGY589848 EQU589848 FAQ589848 FKM589848 FUI589848 GEE589848 GOA589848 GXW589848 HHS589848 HRO589848 IBK589848 ILG589848 IVC589848 JEY589848 JOU589848 JYQ589848 KIM589848 KSI589848 LCE589848 LMA589848 LVW589848 MFS589848 MPO589848 MZK589848 NJG589848 NTC589848 OCY589848 OMU589848 OWQ589848 PGM589848 PQI589848 QAE589848 QKA589848 QTW589848 RDS589848 RNO589848 RXK589848 SHG589848 SRC589848 TAY589848 TKU589848 TUQ589848 UEM589848 UOI589848 UYE589848 VIA589848 VRW589848 WBS589848 WLO589848 WVK589848 C655383 IY655384 SU655384 ACQ655384 AMM655384 AWI655384 BGE655384 BQA655384 BZW655384 CJS655384 CTO655384 DDK655384 DNG655384 DXC655384 EGY655384 EQU655384 FAQ655384 FKM655384 FUI655384 GEE655384 GOA655384 GXW655384 HHS655384 HRO655384 IBK655384 ILG655384 IVC655384 JEY655384 JOU655384 JYQ655384 KIM655384 KSI655384 LCE655384 LMA655384 LVW655384 MFS655384 MPO655384 MZK655384 NJG655384 NTC655384 OCY655384 OMU655384 OWQ655384 PGM655384 PQI655384 QAE655384 QKA655384 QTW655384 RDS655384 RNO655384 RXK655384 SHG655384 SRC655384 TAY655384 TKU655384 TUQ655384 UEM655384 UOI655384 UYE655384 VIA655384 VRW655384 WBS655384 WLO655384 WVK655384 C720919 IY720920 SU720920 ACQ720920 AMM720920 AWI720920 BGE720920 BQA720920 BZW720920 CJS720920 CTO720920 DDK720920 DNG720920 DXC720920 EGY720920 EQU720920 FAQ720920 FKM720920 FUI720920 GEE720920 GOA720920 GXW720920 HHS720920 HRO720920 IBK720920 ILG720920 IVC720920 JEY720920 JOU720920 JYQ720920 KIM720920 KSI720920 LCE720920 LMA720920 LVW720920 MFS720920 MPO720920 MZK720920 NJG720920 NTC720920 OCY720920 OMU720920 OWQ720920 PGM720920 PQI720920 QAE720920 QKA720920 QTW720920 RDS720920 RNO720920 RXK720920 SHG720920 SRC720920 TAY720920 TKU720920 TUQ720920 UEM720920 UOI720920 UYE720920 VIA720920 VRW720920 WBS720920 WLO720920 WVK720920 C786455 IY786456 SU786456 ACQ786456 AMM786456 AWI786456 BGE786456 BQA786456 BZW786456 CJS786456 CTO786456 DDK786456 DNG786456 DXC786456 EGY786456 EQU786456 FAQ786456 FKM786456 FUI786456 GEE786456 GOA786456 GXW786456 HHS786456 HRO786456 IBK786456 ILG786456 IVC786456 JEY786456 JOU786456 JYQ786456 KIM786456 KSI786456 LCE786456 LMA786456 LVW786456 MFS786456 MPO786456 MZK786456 NJG786456 NTC786456 OCY786456 OMU786456 OWQ786456 PGM786456 PQI786456 QAE786456 QKA786456 QTW786456 RDS786456 RNO786456 RXK786456 SHG786456 SRC786456 TAY786456 TKU786456 TUQ786456 UEM786456 UOI786456 UYE786456 VIA786456 VRW786456 WBS786456 WLO786456 WVK786456 C851991 IY851992 SU851992 ACQ851992 AMM851992 AWI851992 BGE851992 BQA851992 BZW851992 CJS851992 CTO851992 DDK851992 DNG851992 DXC851992 EGY851992 EQU851992 FAQ851992 FKM851992 FUI851992 GEE851992 GOA851992 GXW851992 HHS851992 HRO851992 IBK851992 ILG851992 IVC851992 JEY851992 JOU851992 JYQ851992 KIM851992 KSI851992 LCE851992 LMA851992 LVW851992 MFS851992 MPO851992 MZK851992 NJG851992 NTC851992 OCY851992 OMU851992 OWQ851992 PGM851992 PQI851992 QAE851992 QKA851992 QTW851992 RDS851992 RNO851992 RXK851992 SHG851992 SRC851992 TAY851992 TKU851992 TUQ851992 UEM851992 UOI851992 UYE851992 VIA851992 VRW851992 WBS851992 WLO851992 WVK851992 C917527 IY917528 SU917528 ACQ917528 AMM917528 AWI917528 BGE917528 BQA917528 BZW917528 CJS917528 CTO917528 DDK917528 DNG917528 DXC917528 EGY917528 EQU917528 FAQ917528 FKM917528 FUI917528 GEE917528 GOA917528 GXW917528 HHS917528 HRO917528 IBK917528 ILG917528 IVC917528 JEY917528 JOU917528 JYQ917528 KIM917528 KSI917528 LCE917528 LMA917528 LVW917528 MFS917528 MPO917528 MZK917528 NJG917528 NTC917528 OCY917528 OMU917528 OWQ917528 PGM917528 PQI917528 QAE917528 QKA917528 QTW917528 RDS917528 RNO917528 RXK917528 SHG917528 SRC917528 TAY917528 TKU917528 TUQ917528 UEM917528 UOI917528 UYE917528 VIA917528 VRW917528 WBS917528 WLO917528 WVK917528 C983063 IY983064 SU983064 ACQ983064 AMM983064 AWI983064 BGE983064 BQA983064 BZW983064 CJS983064 CTO983064 DDK983064 DNG983064 DXC983064 EGY983064 EQU983064 FAQ983064 FKM983064 FUI983064 GEE983064 GOA983064 GXW983064 HHS983064 HRO983064 IBK983064 ILG983064 IVC983064 JEY983064 JOU983064 JYQ983064 KIM983064 KSI983064 LCE983064 LMA983064 LVW983064 MFS983064 MPO983064 MZK983064 NJG983064 NTC983064 OCY983064 OMU983064 OWQ983064 PGM983064 PQI983064 QAE983064 QKA983064 QTW983064 RDS983064 RNO983064 RXK983064 SHG983064 SRC983064 TAY983064 TKU983064 TUQ983064 UEM983064 UOI983064 UYE983064 VIA983064 VRW983064 WBS983064 WLO983064 WVK983064">
      <formula1>1</formula1>
      <formula2>10000000</formula2>
    </dataValidation>
    <dataValidation type="list" allowBlank="1" showInputMessage="1" showErrorMessage="1" sqref="C9:C10">
      <formula1>标签!$B$1:$B$2</formula1>
    </dataValidation>
    <dataValidation type="decimal" operator="between" allowBlank="1" showInputMessage="1" showErrorMessage="1" sqref="C16:C17 C65553:C65554 C131089:C131090 C196625:C196626 C262161:C262162 C327697:C327698 C393233:C393234 C458769:C458770 C524305:C524306 C589841:C589842 C655377:C655378 C720913:C720914 C786449:C786450 C851985:C851986 C917521:C917522 C983057:C983058 IY17:IY19 IY65554:IY65555 IY131090:IY131091 IY196626:IY196627 IY262162:IY262163 IY327698:IY327699 IY393234:IY393235 IY458770:IY458771 IY524306:IY524307 IY589842:IY589843 IY655378:IY655379 IY720914:IY720915 IY786450:IY786451 IY851986:IY851987 IY917522:IY917523 IY983058:IY983059 SU17:SU19 SU65554:SU65555 SU131090:SU131091 SU196626:SU196627 SU262162:SU262163 SU327698:SU327699 SU393234:SU393235 SU458770:SU458771 SU524306:SU524307 SU589842:SU589843 SU655378:SU655379 SU720914:SU720915 SU786450:SU786451 SU851986:SU851987 SU917522:SU917523 SU983058:SU983059 ACQ17:ACQ19 ACQ65554:ACQ65555 ACQ131090:ACQ131091 ACQ196626:ACQ196627 ACQ262162:ACQ262163 ACQ327698:ACQ327699 ACQ393234:ACQ393235 ACQ458770:ACQ458771 ACQ524306:ACQ524307 ACQ589842:ACQ589843 ACQ655378:ACQ655379 ACQ720914:ACQ720915 ACQ786450:ACQ786451 ACQ851986:ACQ851987 ACQ917522:ACQ917523 ACQ983058:ACQ983059 AMM17:AMM19 AMM65554:AMM65555 AMM131090:AMM131091 AMM196626:AMM196627 AMM262162:AMM262163 AMM327698:AMM327699 AMM393234:AMM393235 AMM458770:AMM458771 AMM524306:AMM524307 AMM589842:AMM589843 AMM655378:AMM655379 AMM720914:AMM720915 AMM786450:AMM786451 AMM851986:AMM851987 AMM917522:AMM917523 AMM983058:AMM983059 AWI17:AWI19 AWI65554:AWI65555 AWI131090:AWI131091 AWI196626:AWI196627 AWI262162:AWI262163 AWI327698:AWI327699 AWI393234:AWI393235 AWI458770:AWI458771 AWI524306:AWI524307 AWI589842:AWI589843 AWI655378:AWI655379 AWI720914:AWI720915 AWI786450:AWI786451 AWI851986:AWI851987 AWI917522:AWI917523 AWI983058:AWI983059 BGE17:BGE19 BGE65554:BGE65555 BGE131090:BGE131091 BGE196626:BGE196627 BGE262162:BGE262163 BGE327698:BGE327699 BGE393234:BGE393235 BGE458770:BGE458771 BGE524306:BGE524307 BGE589842:BGE589843 BGE655378:BGE655379 BGE720914:BGE720915 BGE786450:BGE786451 BGE851986:BGE851987 BGE917522:BGE917523 BGE983058:BGE983059 BQA17:BQA19 BQA65554:BQA65555 BQA131090:BQA131091 BQA196626:BQA196627 BQA262162:BQA262163 BQA327698:BQA327699 BQA393234:BQA393235 BQA458770:BQA458771 BQA524306:BQA524307 BQA589842:BQA589843 BQA655378:BQA655379 BQA720914:BQA720915 BQA786450:BQA786451 BQA851986:BQA851987 BQA917522:BQA917523 BQA983058:BQA983059 BZW17:BZW19 BZW65554:BZW65555 BZW131090:BZW131091 BZW196626:BZW196627 BZW262162:BZW262163 BZW327698:BZW327699 BZW393234:BZW393235 BZW458770:BZW458771 BZW524306:BZW524307 BZW589842:BZW589843 BZW655378:BZW655379 BZW720914:BZW720915 BZW786450:BZW786451 BZW851986:BZW851987 BZW917522:BZW917523 BZW983058:BZW983059 CJS17:CJS19 CJS65554:CJS65555 CJS131090:CJS131091 CJS196626:CJS196627 CJS262162:CJS262163 CJS327698:CJS327699 CJS393234:CJS393235 CJS458770:CJS458771 CJS524306:CJS524307 CJS589842:CJS589843 CJS655378:CJS655379 CJS720914:CJS720915 CJS786450:CJS786451 CJS851986:CJS851987 CJS917522:CJS917523 CJS983058:CJS983059 CTO17:CTO19 CTO65554:CTO65555 CTO131090:CTO131091 CTO196626:CTO196627 CTO262162:CTO262163 CTO327698:CTO327699 CTO393234:CTO393235 CTO458770:CTO458771 CTO524306:CTO524307 CTO589842:CTO589843 CTO655378:CTO655379 CTO720914:CTO720915 CTO786450:CTO786451 CTO851986:CTO851987 CTO917522:CTO917523 CTO983058:CTO983059 DDK17:DDK19 DDK65554:DDK65555 DDK131090:DDK131091 DDK196626:DDK196627 DDK262162:DDK262163 DDK327698:DDK327699 DDK393234:DDK393235 DDK458770:DDK458771 DDK524306:DDK524307 DDK589842:DDK589843 DDK655378:DDK655379 DDK720914:DDK720915 DDK786450:DDK786451 DDK851986:DDK851987 DDK917522:DDK917523 DDK983058:DDK983059 DNG17:DNG19 DNG65554:DNG65555 DNG131090:DNG131091 DNG196626:DNG196627 DNG262162:DNG262163 DNG327698:DNG327699 DNG393234:DNG393235 DNG458770:DNG458771 DNG524306:DNG524307 DNG589842:DNG589843 DNG655378:DNG655379 DNG720914:DNG720915 DNG786450:DNG786451 DNG851986:DNG851987 DNG917522:DNG917523 DNG983058:DNG983059 DXC17:DXC19 DXC65554:DXC65555 DXC131090:DXC131091 DXC196626:DXC196627 DXC262162:DXC262163 DXC327698:DXC327699 DXC393234:DXC393235 DXC458770:DXC458771 DXC524306:DXC524307 DXC589842:DXC589843 DXC655378:DXC655379 DXC720914:DXC720915 DXC786450:DXC786451 DXC851986:DXC851987 DXC917522:DXC917523 DXC983058:DXC983059 EGY17:EGY19 EGY65554:EGY65555 EGY131090:EGY131091 EGY196626:EGY196627 EGY262162:EGY262163 EGY327698:EGY327699 EGY393234:EGY393235 EGY458770:EGY458771 EGY524306:EGY524307 EGY589842:EGY589843 EGY655378:EGY655379 EGY720914:EGY720915 EGY786450:EGY786451 EGY851986:EGY851987 EGY917522:EGY917523 EGY983058:EGY983059 EQU17:EQU19 EQU65554:EQU65555 EQU131090:EQU131091 EQU196626:EQU196627 EQU262162:EQU262163 EQU327698:EQU327699 EQU393234:EQU393235 EQU458770:EQU458771 EQU524306:EQU524307 EQU589842:EQU589843 EQU655378:EQU655379 EQU720914:EQU720915 EQU786450:EQU786451 EQU851986:EQU851987 EQU917522:EQU917523 EQU983058:EQU983059 FAQ17:FAQ19 FAQ65554:FAQ65555 FAQ131090:FAQ131091 FAQ196626:FAQ196627 FAQ262162:FAQ262163 FAQ327698:FAQ327699 FAQ393234:FAQ393235 FAQ458770:FAQ458771 FAQ524306:FAQ524307 FAQ589842:FAQ589843 FAQ655378:FAQ655379 FAQ720914:FAQ720915 FAQ786450:FAQ786451 FAQ851986:FAQ851987 FAQ917522:FAQ917523 FAQ983058:FAQ983059 FKM17:FKM19 FKM65554:FKM65555 FKM131090:FKM131091 FKM196626:FKM196627 FKM262162:FKM262163 FKM327698:FKM327699 FKM393234:FKM393235 FKM458770:FKM458771 FKM524306:FKM524307 FKM589842:FKM589843 FKM655378:FKM655379 FKM720914:FKM720915 FKM786450:FKM786451 FKM851986:FKM851987 FKM917522:FKM917523 FKM983058:FKM983059 FUI17:FUI19 FUI65554:FUI65555 FUI131090:FUI131091 FUI196626:FUI196627 FUI262162:FUI262163 FUI327698:FUI327699 FUI393234:FUI393235 FUI458770:FUI458771 FUI524306:FUI524307 FUI589842:FUI589843 FUI655378:FUI655379 FUI720914:FUI720915 FUI786450:FUI786451 FUI851986:FUI851987 FUI917522:FUI917523 FUI983058:FUI983059 GEE17:GEE19 GEE65554:GEE65555 GEE131090:GEE131091 GEE196626:GEE196627 GEE262162:GEE262163 GEE327698:GEE327699 GEE393234:GEE393235 GEE458770:GEE458771 GEE524306:GEE524307 GEE589842:GEE589843 GEE655378:GEE655379 GEE720914:GEE720915 GEE786450:GEE786451 GEE851986:GEE851987 GEE917522:GEE917523 GEE983058:GEE983059 GOA17:GOA19 GOA65554:GOA65555 GOA131090:GOA131091 GOA196626:GOA196627 GOA262162:GOA262163 GOA327698:GOA327699 GOA393234:GOA393235 GOA458770:GOA458771 GOA524306:GOA524307 GOA589842:GOA589843 GOA655378:GOA655379 GOA720914:GOA720915 GOA786450:GOA786451 GOA851986:GOA851987 GOA917522:GOA917523 GOA983058:GOA983059 GXW17:GXW19 GXW65554:GXW65555 GXW131090:GXW131091 GXW196626:GXW196627 GXW262162:GXW262163 GXW327698:GXW327699 GXW393234:GXW393235 GXW458770:GXW458771 GXW524306:GXW524307 GXW589842:GXW589843 GXW655378:GXW655379 GXW720914:GXW720915 GXW786450:GXW786451 GXW851986:GXW851987 GXW917522:GXW917523 GXW983058:GXW983059 HHS17:HHS19 HHS65554:HHS65555 HHS131090:HHS131091 HHS196626:HHS196627 HHS262162:HHS262163 HHS327698:HHS327699 HHS393234:HHS393235 HHS458770:HHS458771 HHS524306:HHS524307 HHS589842:HHS589843 HHS655378:HHS655379 HHS720914:HHS720915 HHS786450:HHS786451 HHS851986:HHS851987 HHS917522:HHS917523 HHS983058:HHS983059 HRO17:HRO19 HRO65554:HRO65555 HRO131090:HRO131091 HRO196626:HRO196627 HRO262162:HRO262163 HRO327698:HRO327699 HRO393234:HRO393235 HRO458770:HRO458771 HRO524306:HRO524307 HRO589842:HRO589843 HRO655378:HRO655379 HRO720914:HRO720915 HRO786450:HRO786451 HRO851986:HRO851987 HRO917522:HRO917523 HRO983058:HRO983059 IBK17:IBK19 IBK65554:IBK65555 IBK131090:IBK131091 IBK196626:IBK196627 IBK262162:IBK262163 IBK327698:IBK327699 IBK393234:IBK393235 IBK458770:IBK458771 IBK524306:IBK524307 IBK589842:IBK589843 IBK655378:IBK655379 IBK720914:IBK720915 IBK786450:IBK786451 IBK851986:IBK851987 IBK917522:IBK917523 IBK983058:IBK983059 ILG17:ILG19 ILG65554:ILG65555 ILG131090:ILG131091 ILG196626:ILG196627 ILG262162:ILG262163 ILG327698:ILG327699 ILG393234:ILG393235 ILG458770:ILG458771 ILG524306:ILG524307 ILG589842:ILG589843 ILG655378:ILG655379 ILG720914:ILG720915 ILG786450:ILG786451 ILG851986:ILG851987 ILG917522:ILG917523 ILG983058:ILG983059 IVC17:IVC19 IVC65554:IVC65555 IVC131090:IVC131091 IVC196626:IVC196627 IVC262162:IVC262163 IVC327698:IVC327699 IVC393234:IVC393235 IVC458770:IVC458771 IVC524306:IVC524307 IVC589842:IVC589843 IVC655378:IVC655379 IVC720914:IVC720915 IVC786450:IVC786451 IVC851986:IVC851987 IVC917522:IVC917523 IVC983058:IVC983059 JEY17:JEY19 JEY65554:JEY65555 JEY131090:JEY131091 JEY196626:JEY196627 JEY262162:JEY262163 JEY327698:JEY327699 JEY393234:JEY393235 JEY458770:JEY458771 JEY524306:JEY524307 JEY589842:JEY589843 JEY655378:JEY655379 JEY720914:JEY720915 JEY786450:JEY786451 JEY851986:JEY851987 JEY917522:JEY917523 JEY983058:JEY983059 JOU17:JOU19 JOU65554:JOU65555 JOU131090:JOU131091 JOU196626:JOU196627 JOU262162:JOU262163 JOU327698:JOU327699 JOU393234:JOU393235 JOU458770:JOU458771 JOU524306:JOU524307 JOU589842:JOU589843 JOU655378:JOU655379 JOU720914:JOU720915 JOU786450:JOU786451 JOU851986:JOU851987 JOU917522:JOU917523 JOU983058:JOU983059 JYQ17:JYQ19 JYQ65554:JYQ65555 JYQ131090:JYQ131091 JYQ196626:JYQ196627 JYQ262162:JYQ262163 JYQ327698:JYQ327699 JYQ393234:JYQ393235 JYQ458770:JYQ458771 JYQ524306:JYQ524307 JYQ589842:JYQ589843 JYQ655378:JYQ655379 JYQ720914:JYQ720915 JYQ786450:JYQ786451 JYQ851986:JYQ851987 JYQ917522:JYQ917523 JYQ983058:JYQ983059 KIM17:KIM19 KIM65554:KIM65555 KIM131090:KIM131091 KIM196626:KIM196627 KIM262162:KIM262163 KIM327698:KIM327699 KIM393234:KIM393235 KIM458770:KIM458771 KIM524306:KIM524307 KIM589842:KIM589843 KIM655378:KIM655379 KIM720914:KIM720915 KIM786450:KIM786451 KIM851986:KIM851987 KIM917522:KIM917523 KIM983058:KIM983059 KSI17:KSI19 KSI65554:KSI65555 KSI131090:KSI131091 KSI196626:KSI196627 KSI262162:KSI262163 KSI327698:KSI327699 KSI393234:KSI393235 KSI458770:KSI458771 KSI524306:KSI524307 KSI589842:KSI589843 KSI655378:KSI655379 KSI720914:KSI720915 KSI786450:KSI786451 KSI851986:KSI851987 KSI917522:KSI917523 KSI983058:KSI983059 LCE17:LCE19 LCE65554:LCE65555 LCE131090:LCE131091 LCE196626:LCE196627 LCE262162:LCE262163 LCE327698:LCE327699 LCE393234:LCE393235 LCE458770:LCE458771 LCE524306:LCE524307 LCE589842:LCE589843 LCE655378:LCE655379 LCE720914:LCE720915 LCE786450:LCE786451 LCE851986:LCE851987 LCE917522:LCE917523 LCE983058:LCE983059 LMA17:LMA19 LMA65554:LMA65555 LMA131090:LMA131091 LMA196626:LMA196627 LMA262162:LMA262163 LMA327698:LMA327699 LMA393234:LMA393235 LMA458770:LMA458771 LMA524306:LMA524307 LMA589842:LMA589843 LMA655378:LMA655379 LMA720914:LMA720915 LMA786450:LMA786451 LMA851986:LMA851987 LMA917522:LMA917523 LMA983058:LMA983059 LVW17:LVW19 LVW65554:LVW65555 LVW131090:LVW131091 LVW196626:LVW196627 LVW262162:LVW262163 LVW327698:LVW327699 LVW393234:LVW393235 LVW458770:LVW458771 LVW524306:LVW524307 LVW589842:LVW589843 LVW655378:LVW655379 LVW720914:LVW720915 LVW786450:LVW786451 LVW851986:LVW851987 LVW917522:LVW917523 LVW983058:LVW983059 MFS17:MFS19 MFS65554:MFS65555 MFS131090:MFS131091 MFS196626:MFS196627 MFS262162:MFS262163 MFS327698:MFS327699 MFS393234:MFS393235 MFS458770:MFS458771 MFS524306:MFS524307 MFS589842:MFS589843 MFS655378:MFS655379 MFS720914:MFS720915 MFS786450:MFS786451 MFS851986:MFS851987 MFS917522:MFS917523 MFS983058:MFS983059 MPO17:MPO19 MPO65554:MPO65555 MPO131090:MPO131091 MPO196626:MPO196627 MPO262162:MPO262163 MPO327698:MPO327699 MPO393234:MPO393235 MPO458770:MPO458771 MPO524306:MPO524307 MPO589842:MPO589843 MPO655378:MPO655379 MPO720914:MPO720915 MPO786450:MPO786451 MPO851986:MPO851987 MPO917522:MPO917523 MPO983058:MPO983059 MZK17:MZK19 MZK65554:MZK65555 MZK131090:MZK131091 MZK196626:MZK196627 MZK262162:MZK262163 MZK327698:MZK327699 MZK393234:MZK393235 MZK458770:MZK458771 MZK524306:MZK524307 MZK589842:MZK589843 MZK655378:MZK655379 MZK720914:MZK720915 MZK786450:MZK786451 MZK851986:MZK851987 MZK917522:MZK917523 MZK983058:MZK983059 NJG17:NJG19 NJG65554:NJG65555 NJG131090:NJG131091 NJG196626:NJG196627 NJG262162:NJG262163 NJG327698:NJG327699 NJG393234:NJG393235 NJG458770:NJG458771 NJG524306:NJG524307 NJG589842:NJG589843 NJG655378:NJG655379 NJG720914:NJG720915 NJG786450:NJG786451 NJG851986:NJG851987 NJG917522:NJG917523 NJG983058:NJG983059 NTC17:NTC19 NTC65554:NTC65555 NTC131090:NTC131091 NTC196626:NTC196627 NTC262162:NTC262163 NTC327698:NTC327699 NTC393234:NTC393235 NTC458770:NTC458771 NTC524306:NTC524307 NTC589842:NTC589843 NTC655378:NTC655379 NTC720914:NTC720915 NTC786450:NTC786451 NTC851986:NTC851987 NTC917522:NTC917523 NTC983058:NTC983059 OCY17:OCY19 OCY65554:OCY65555 OCY131090:OCY131091 OCY196626:OCY196627 OCY262162:OCY262163 OCY327698:OCY327699 OCY393234:OCY393235 OCY458770:OCY458771 OCY524306:OCY524307 OCY589842:OCY589843 OCY655378:OCY655379 OCY720914:OCY720915 OCY786450:OCY786451 OCY851986:OCY851987 OCY917522:OCY917523 OCY983058:OCY983059 OMU17:OMU19 OMU65554:OMU65555 OMU131090:OMU131091 OMU196626:OMU196627 OMU262162:OMU262163 OMU327698:OMU327699 OMU393234:OMU393235 OMU458770:OMU458771 OMU524306:OMU524307 OMU589842:OMU589843 OMU655378:OMU655379 OMU720914:OMU720915 OMU786450:OMU786451 OMU851986:OMU851987 OMU917522:OMU917523 OMU983058:OMU983059 OWQ17:OWQ19 OWQ65554:OWQ65555 OWQ131090:OWQ131091 OWQ196626:OWQ196627 OWQ262162:OWQ262163 OWQ327698:OWQ327699 OWQ393234:OWQ393235 OWQ458770:OWQ458771 OWQ524306:OWQ524307 OWQ589842:OWQ589843 OWQ655378:OWQ655379 OWQ720914:OWQ720915 OWQ786450:OWQ786451 OWQ851986:OWQ851987 OWQ917522:OWQ917523 OWQ983058:OWQ983059 PGM17:PGM19 PGM65554:PGM65555 PGM131090:PGM131091 PGM196626:PGM196627 PGM262162:PGM262163 PGM327698:PGM327699 PGM393234:PGM393235 PGM458770:PGM458771 PGM524306:PGM524307 PGM589842:PGM589843 PGM655378:PGM655379 PGM720914:PGM720915 PGM786450:PGM786451 PGM851986:PGM851987 PGM917522:PGM917523 PGM983058:PGM983059 PQI17:PQI19 PQI65554:PQI65555 PQI131090:PQI131091 PQI196626:PQI196627 PQI262162:PQI262163 PQI327698:PQI327699 PQI393234:PQI393235 PQI458770:PQI458771 PQI524306:PQI524307 PQI589842:PQI589843 PQI655378:PQI655379 PQI720914:PQI720915 PQI786450:PQI786451 PQI851986:PQI851987 PQI917522:PQI917523 PQI983058:PQI983059 QAE17:QAE19 QAE65554:QAE65555 QAE131090:QAE131091 QAE196626:QAE196627 QAE262162:QAE262163 QAE327698:QAE327699 QAE393234:QAE393235 QAE458770:QAE458771 QAE524306:QAE524307 QAE589842:QAE589843 QAE655378:QAE655379 QAE720914:QAE720915 QAE786450:QAE786451 QAE851986:QAE851987 QAE917522:QAE917523 QAE983058:QAE983059 QKA17:QKA19 QKA65554:QKA65555 QKA131090:QKA131091 QKA196626:QKA196627 QKA262162:QKA262163 QKA327698:QKA327699 QKA393234:QKA393235 QKA458770:QKA458771 QKA524306:QKA524307 QKA589842:QKA589843 QKA655378:QKA655379 QKA720914:QKA720915 QKA786450:QKA786451 QKA851986:QKA851987 QKA917522:QKA917523 QKA983058:QKA983059 QTW17:QTW19 QTW65554:QTW65555 QTW131090:QTW131091 QTW196626:QTW196627 QTW262162:QTW262163 QTW327698:QTW327699 QTW393234:QTW393235 QTW458770:QTW458771 QTW524306:QTW524307 QTW589842:QTW589843 QTW655378:QTW655379 QTW720914:QTW720915 QTW786450:QTW786451 QTW851986:QTW851987 QTW917522:QTW917523 QTW983058:QTW983059 RDS17:RDS19 RDS65554:RDS65555 RDS131090:RDS131091 RDS196626:RDS196627 RDS262162:RDS262163 RDS327698:RDS327699 RDS393234:RDS393235 RDS458770:RDS458771 RDS524306:RDS524307 RDS589842:RDS589843 RDS655378:RDS655379 RDS720914:RDS720915 RDS786450:RDS786451 RDS851986:RDS851987 RDS917522:RDS917523 RDS983058:RDS983059 RNO17:RNO19 RNO65554:RNO65555 RNO131090:RNO131091 RNO196626:RNO196627 RNO262162:RNO262163 RNO327698:RNO327699 RNO393234:RNO393235 RNO458770:RNO458771 RNO524306:RNO524307 RNO589842:RNO589843 RNO655378:RNO655379 RNO720914:RNO720915 RNO786450:RNO786451 RNO851986:RNO851987 RNO917522:RNO917523 RNO983058:RNO983059 RXK17:RXK19 RXK65554:RXK65555 RXK131090:RXK131091 RXK196626:RXK196627 RXK262162:RXK262163 RXK327698:RXK327699 RXK393234:RXK393235 RXK458770:RXK458771 RXK524306:RXK524307 RXK589842:RXK589843 RXK655378:RXK655379 RXK720914:RXK720915 RXK786450:RXK786451 RXK851986:RXK851987 RXK917522:RXK917523 RXK983058:RXK983059 SHG17:SHG19 SHG65554:SHG65555 SHG131090:SHG131091 SHG196626:SHG196627 SHG262162:SHG262163 SHG327698:SHG327699 SHG393234:SHG393235 SHG458770:SHG458771 SHG524306:SHG524307 SHG589842:SHG589843 SHG655378:SHG655379 SHG720914:SHG720915 SHG786450:SHG786451 SHG851986:SHG851987 SHG917522:SHG917523 SHG983058:SHG983059 SRC17:SRC19 SRC65554:SRC65555 SRC131090:SRC131091 SRC196626:SRC196627 SRC262162:SRC262163 SRC327698:SRC327699 SRC393234:SRC393235 SRC458770:SRC458771 SRC524306:SRC524307 SRC589842:SRC589843 SRC655378:SRC655379 SRC720914:SRC720915 SRC786450:SRC786451 SRC851986:SRC851987 SRC917522:SRC917523 SRC983058:SRC983059 TAY17:TAY19 TAY65554:TAY65555 TAY131090:TAY131091 TAY196626:TAY196627 TAY262162:TAY262163 TAY327698:TAY327699 TAY393234:TAY393235 TAY458770:TAY458771 TAY524306:TAY524307 TAY589842:TAY589843 TAY655378:TAY655379 TAY720914:TAY720915 TAY786450:TAY786451 TAY851986:TAY851987 TAY917522:TAY917523 TAY983058:TAY983059 TKU17:TKU19 TKU65554:TKU65555 TKU131090:TKU131091 TKU196626:TKU196627 TKU262162:TKU262163 TKU327698:TKU327699 TKU393234:TKU393235 TKU458770:TKU458771 TKU524306:TKU524307 TKU589842:TKU589843 TKU655378:TKU655379 TKU720914:TKU720915 TKU786450:TKU786451 TKU851986:TKU851987 TKU917522:TKU917523 TKU983058:TKU983059 TUQ17:TUQ19 TUQ65554:TUQ65555 TUQ131090:TUQ131091 TUQ196626:TUQ196627 TUQ262162:TUQ262163 TUQ327698:TUQ327699 TUQ393234:TUQ393235 TUQ458770:TUQ458771 TUQ524306:TUQ524307 TUQ589842:TUQ589843 TUQ655378:TUQ655379 TUQ720914:TUQ720915 TUQ786450:TUQ786451 TUQ851986:TUQ851987 TUQ917522:TUQ917523 TUQ983058:TUQ983059 UEM17:UEM19 UEM65554:UEM65555 UEM131090:UEM131091 UEM196626:UEM196627 UEM262162:UEM262163 UEM327698:UEM327699 UEM393234:UEM393235 UEM458770:UEM458771 UEM524306:UEM524307 UEM589842:UEM589843 UEM655378:UEM655379 UEM720914:UEM720915 UEM786450:UEM786451 UEM851986:UEM851987 UEM917522:UEM917523 UEM983058:UEM983059 UOI17:UOI19 UOI65554:UOI65555 UOI131090:UOI131091 UOI196626:UOI196627 UOI262162:UOI262163 UOI327698:UOI327699 UOI393234:UOI393235 UOI458770:UOI458771 UOI524306:UOI524307 UOI589842:UOI589843 UOI655378:UOI655379 UOI720914:UOI720915 UOI786450:UOI786451 UOI851986:UOI851987 UOI917522:UOI917523 UOI983058:UOI983059 UYE17:UYE19 UYE65554:UYE65555 UYE131090:UYE131091 UYE196626:UYE196627 UYE262162:UYE262163 UYE327698:UYE327699 UYE393234:UYE393235 UYE458770:UYE458771 UYE524306:UYE524307 UYE589842:UYE589843 UYE655378:UYE655379 UYE720914:UYE720915 UYE786450:UYE786451 UYE851986:UYE851987 UYE917522:UYE917523 UYE983058:UYE983059 VIA17:VIA19 VIA65554:VIA65555 VIA131090:VIA131091 VIA196626:VIA196627 VIA262162:VIA262163 VIA327698:VIA327699 VIA393234:VIA393235 VIA458770:VIA458771 VIA524306:VIA524307 VIA589842:VIA589843 VIA655378:VIA655379 VIA720914:VIA720915 VIA786450:VIA786451 VIA851986:VIA851987 VIA917522:VIA917523 VIA983058:VIA983059 VRW17:VRW19 VRW65554:VRW65555 VRW131090:VRW131091 VRW196626:VRW196627 VRW262162:VRW262163 VRW327698:VRW327699 VRW393234:VRW393235 VRW458770:VRW458771 VRW524306:VRW524307 VRW589842:VRW589843 VRW655378:VRW655379 VRW720914:VRW720915 VRW786450:VRW786451 VRW851986:VRW851987 VRW917522:VRW917523 VRW983058:VRW983059 WBS17:WBS19 WBS65554:WBS65555 WBS131090:WBS131091 WBS196626:WBS196627 WBS262162:WBS262163 WBS327698:WBS327699 WBS393234:WBS393235 WBS458770:WBS458771 WBS524306:WBS524307 WBS589842:WBS589843 WBS655378:WBS655379 WBS720914:WBS720915 WBS786450:WBS786451 WBS851986:WBS851987 WBS917522:WBS917523 WBS983058:WBS983059 WLO17:WLO19 WLO65554:WLO65555 WLO131090:WLO131091 WLO196626:WLO196627 WLO262162:WLO262163 WLO327698:WLO327699 WLO393234:WLO393235 WLO458770:WLO458771 WLO524306:WLO524307 WLO589842:WLO589843 WLO655378:WLO655379 WLO720914:WLO720915 WLO786450:WLO786451 WLO851986:WLO851987 WLO917522:WLO917523 WLO983058:WLO983059 WVK17:WVK19 WVK65554:WVK65555 WVK131090:WVK131091 WVK196626:WVK196627 WVK262162:WVK262163 WVK327698:WVK327699 WVK393234:WVK393235 WVK458770:WVK458771 WVK524306:WVK524307 WVK589842:WVK589843 WVK655378:WVK655379 WVK720914:WVK720915 WVK786450:WVK786451 WVK851986:WVK851987 WVK917522:WVK917523 WVK983058:WVK983059">
      <formula1>100</formula1>
      <formula2>100000</formula2>
    </dataValidation>
    <dataValidation type="list" allowBlank="1" showInputMessage="1" showErrorMessage="1" sqref="D9:E10">
      <formula1>标签!$C$1:$C$2</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J12" sqref="J12"/>
    </sheetView>
  </sheetViews>
  <sheetFormatPr defaultColWidth="9" defaultRowHeight="16.8" outlineLevelCol="2"/>
  <sheetData>
    <row r="1" spans="1:3">
      <c r="A1" s="1" t="s">
        <v>93</v>
      </c>
      <c r="B1" s="1" t="s">
        <v>29</v>
      </c>
      <c r="C1" s="1" t="s">
        <v>30</v>
      </c>
    </row>
    <row r="2" spans="1:3">
      <c r="A2" s="2"/>
      <c r="B2" s="1" t="s">
        <v>94</v>
      </c>
      <c r="C2" s="1" t="s">
        <v>95</v>
      </c>
    </row>
    <row r="3" spans="1:3">
      <c r="A3" s="2"/>
      <c r="B3" s="1" t="s">
        <v>96</v>
      </c>
      <c r="C3" s="1" t="s">
        <v>44</v>
      </c>
    </row>
    <row r="4" spans="1:3">
      <c r="A4" s="2"/>
      <c r="B4" s="1" t="s">
        <v>43</v>
      </c>
      <c r="C4" s="1" t="s">
        <v>97</v>
      </c>
    </row>
    <row r="5" spans="1:3">
      <c r="A5" s="2"/>
      <c r="B5" s="1" t="s">
        <v>48</v>
      </c>
      <c r="C5" s="1" t="s">
        <v>49</v>
      </c>
    </row>
    <row r="6" ht="17" spans="1:3">
      <c r="A6" s="2"/>
      <c r="B6" s="1" t="s">
        <v>98</v>
      </c>
      <c r="C6" s="1" t="s">
        <v>99</v>
      </c>
    </row>
    <row r="7" spans="1:3">
      <c r="B7" s="1" t="s">
        <v>100</v>
      </c>
    </row>
    <row r="8" ht="17" spans="1:3">
      <c r="B8" s="1" t="s">
        <v>101</v>
      </c>
    </row>
    <row r="9" ht="17" spans="1:3">
      <c r="B9" s="1" t="s">
        <v>102</v>
      </c>
    </row>
    <row r="10" ht="17" spans="1:3">
      <c r="B10" s="1" t="s">
        <v>103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填写页</vt:lpstr>
      <vt:lpstr>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A.B.Wu</cp:lastModifiedBy>
  <dcterms:created xsi:type="dcterms:W3CDTF">2015-06-06T02:19:00Z</dcterms:created>
  <cp:lastPrinted>2024-01-23T10:39:00Z</cp:lastPrinted>
  <dcterms:modified xsi:type="dcterms:W3CDTF">2026-08-14T11:33:20Z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7AA5D6B7555D442D83F4AB4EB8C01C1D_12</vt:lpwstr>
  </property>
  <property fmtid="{D5CDD505-2E9C-101B-9397-08002B2CF9AE}" pid="3" name="KSOProductBuildVer">
    <vt:lpwstr>1033-12.1.26055.26055</vt:lpwstr>
  </property>
  <property fmtid="{D5CDD505-2E9C-101B-9397-08002B2CF9AE}" pid="4" name="CalculationRule">
    <vt:i4>0</vt:i4>
  </property>
  <property fmtid="{D5CDD505-2E9C-101B-9397-08002B2CF9AE}" pid="5" name="5B77E7CEEC58BC6AFAE8886BEB80DBEB">
    <vt:lpwstr>otCYQxs9Dbw2bUEn/Soxv9pYAoWsCRIsU8+gIbxzzmNcJN13+qHIPyWmbF9hFzPHyi2m8DLwi54E5OVVM5pJ0yGmgAiYTaR6oYUdYZxdjep6I9xviFUFZ9aTScfBW9OGZrToEe+wt1sPnc4L6TtAULuiiCgIc/G0zBP/UHEQNwAXXOKdsW0WJ09kmWyY/nBJBFNsH//prG7VXdDWtB8zGQ+WFtpEDFHuTRDsyCO/RzIuiIjo12Wl3x+G4bC56rRP2bpleed0eQVW8yDRY3ivXjMY3gzc8MBYO55ra5NYpnWwBrzYQ5GExwV8Up5odpZ+ATsfrglmfg1sHqHQekx90rT88cQ78wFTJ9yhXMM7ZSEJioJYipFcZNNco3Q5LhGcXgP9vmFFD/h34qZFTyElz47WDjR5TLp4VeBjP+ry1fzlymbSUdKDnyj8FxpXYAIchiCGPMvqL0rIqwg/IvxWgn4B6Y2IOTcw83QTPlcxZvHgj8jpwBauIB0vi8DB1ckrEe9YAjvzfN48fX75U+EywfYfMhC3Yy6mSrLpEffNW/WcnE3/MjxlVW/VNl7WQFhFkfh43O9wmKoTvztsYhwD2A==</vt:lpwstr>
  </property>
</Properties>
</file>